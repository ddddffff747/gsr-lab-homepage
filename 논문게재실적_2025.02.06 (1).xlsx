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GSR_ES\Desktop\잡다한거\연구실 홈페이지\"/>
    </mc:Choice>
  </mc:AlternateContent>
  <xr:revisionPtr revIDLastSave="0" documentId="8_{8319CBEA-9808-4E2A-B9E0-72630B078874}" xr6:coauthVersionLast="47" xr6:coauthVersionMax="47" xr10:uidLastSave="{00000000-0000-0000-0000-000000000000}"/>
  <bookViews>
    <workbookView xWindow="-108" yWindow="-108" windowWidth="46296" windowHeight="25416" activeTab="2" xr2:uid="{00000000-000D-0000-FFFF-FFFF00000000}"/>
  </bookViews>
  <sheets>
    <sheet name="학술지정보" sheetId="2" r:id="rId1"/>
    <sheet name="GSR group 저널논문 (2001~2024)" sheetId="1" r:id="rId2"/>
    <sheet name="GSR group 국내논문 (2006~2024)" sheetId="4" r:id="rId3"/>
    <sheet name="국외학술발표 (2000~2024)" sheetId="5" r:id="rId4"/>
  </sheets>
  <definedNames>
    <definedName name="_xlnm._FilterDatabase" localSheetId="1" hidden="1">'GSR group 저널논문 (2001~2024)'!$B$5:$K$80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" i="1" l="1"/>
  <c r="B87" i="1"/>
  <c r="B83" i="1"/>
  <c r="B84" i="1"/>
  <c r="B85" i="1"/>
  <c r="B81" i="1"/>
  <c r="B82" i="1"/>
  <c r="B12" i="4"/>
  <c r="B13" i="4"/>
  <c r="B14" i="4"/>
  <c r="B15" i="4"/>
  <c r="B16" i="4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8" i="1"/>
  <c r="B9" i="1"/>
  <c r="B10" i="1"/>
  <c r="B11" i="1"/>
  <c r="B12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11" i="4"/>
  <c r="B7" i="1"/>
  <c r="K34" i="4" a="1"/>
  <c r="K34" i="4" s="1"/>
  <c r="J34" i="4" a="1"/>
  <c r="J34" i="4" s="1"/>
  <c r="I34" i="4"/>
  <c r="K11" i="4" a="1"/>
  <c r="K11" i="4" s="1"/>
  <c r="J11" i="4" a="1"/>
  <c r="J11" i="4" s="1"/>
  <c r="I11" i="4"/>
  <c r="H59" i="1"/>
  <c r="H22" i="1"/>
  <c r="J59" i="1" l="1"/>
  <c r="J22" i="1"/>
  <c r="H7" i="1" l="1"/>
  <c r="H8" i="1"/>
  <c r="H9" i="1"/>
  <c r="H10" i="1"/>
  <c r="H11" i="1"/>
  <c r="J11" i="1" s="1"/>
  <c r="H12" i="1"/>
  <c r="H13" i="1"/>
  <c r="H14" i="1"/>
  <c r="H15" i="1"/>
  <c r="H16" i="1"/>
  <c r="H17" i="1"/>
  <c r="H18" i="1"/>
  <c r="H19" i="1"/>
  <c r="J19" i="1" s="1"/>
  <c r="H20" i="1"/>
  <c r="H21" i="1"/>
  <c r="H23" i="1"/>
  <c r="H24" i="1"/>
  <c r="H25" i="1"/>
  <c r="H26" i="1"/>
  <c r="H27" i="1"/>
  <c r="H28" i="1"/>
  <c r="H29" i="1"/>
  <c r="H30" i="1"/>
  <c r="J30" i="1" s="1"/>
  <c r="H31" i="1"/>
  <c r="H32" i="1"/>
  <c r="H33" i="1"/>
  <c r="H34" i="1"/>
  <c r="H35" i="1"/>
  <c r="H36" i="1"/>
  <c r="J36" i="1" s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J75" i="1" s="1"/>
  <c r="H76" i="1"/>
  <c r="J76" i="1" s="1"/>
  <c r="H77" i="1"/>
  <c r="H78" i="1"/>
  <c r="H79" i="1"/>
  <c r="J79" i="1" s="1"/>
  <c r="H80" i="1"/>
  <c r="H6" i="1"/>
  <c r="K20" i="1" l="1"/>
  <c r="J10" i="1"/>
  <c r="J60" i="1"/>
  <c r="J44" i="1"/>
  <c r="J43" i="1"/>
  <c r="J39" i="1"/>
  <c r="J47" i="1"/>
  <c r="J37" i="1"/>
  <c r="J45" i="1"/>
  <c r="J63" i="1"/>
  <c r="I30" i="1"/>
  <c r="J61" i="1"/>
  <c r="J29" i="1"/>
  <c r="I19" i="1"/>
  <c r="J69" i="1"/>
  <c r="J53" i="1"/>
  <c r="J55" i="1"/>
  <c r="J18" i="1"/>
  <c r="J77" i="1"/>
  <c r="J35" i="1"/>
  <c r="J28" i="1"/>
  <c r="J68" i="1"/>
  <c r="J52" i="1"/>
  <c r="K14" i="1"/>
  <c r="J54" i="1"/>
  <c r="J31" i="1"/>
  <c r="J14" i="1"/>
  <c r="J78" i="1"/>
  <c r="J23" i="1"/>
  <c r="J67" i="1"/>
  <c r="J51" i="1"/>
  <c r="K30" i="1"/>
  <c r="J12" i="1"/>
  <c r="J27" i="1"/>
  <c r="J20" i="1"/>
  <c r="J70" i="1"/>
  <c r="J62" i="1"/>
  <c r="J46" i="1"/>
  <c r="J38" i="1"/>
  <c r="J21" i="1"/>
  <c r="J13" i="1"/>
  <c r="J71" i="1"/>
  <c r="J74" i="1"/>
  <c r="J66" i="1"/>
  <c r="J58" i="1"/>
  <c r="J50" i="1"/>
  <c r="J42" i="1"/>
  <c r="J34" i="1"/>
  <c r="J26" i="1"/>
  <c r="J17" i="1"/>
  <c r="J9" i="1"/>
  <c r="K25" i="1"/>
  <c r="J73" i="1"/>
  <c r="J65" i="1"/>
  <c r="J57" i="1"/>
  <c r="J49" i="1"/>
  <c r="J41" i="1"/>
  <c r="J33" i="1"/>
  <c r="J25" i="1"/>
  <c r="J16" i="1"/>
  <c r="J8" i="1"/>
  <c r="J6" i="1"/>
  <c r="J80" i="1"/>
  <c r="J72" i="1"/>
  <c r="J64" i="1"/>
  <c r="J56" i="1"/>
  <c r="J48" i="1"/>
  <c r="J40" i="1"/>
  <c r="J32" i="1"/>
  <c r="J24" i="1"/>
  <c r="J15" i="1"/>
  <c r="J7" i="1"/>
  <c r="M50" i="2"/>
  <c r="M49" i="2"/>
  <c r="M46" i="2"/>
  <c r="L46" i="2"/>
  <c r="I46" i="2"/>
  <c r="N38" i="2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M44" i="2"/>
  <c r="L44" i="2"/>
  <c r="I44" i="2"/>
  <c r="L38" i="2"/>
  <c r="M38" i="2" s="1"/>
  <c r="I38" i="2"/>
  <c r="L50" i="2"/>
  <c r="I50" i="2"/>
  <c r="L51" i="2"/>
  <c r="M51" i="2" s="1"/>
  <c r="I51" i="2"/>
  <c r="L49" i="2"/>
  <c r="I49" i="2"/>
  <c r="L48" i="2"/>
  <c r="M48" i="2" s="1"/>
  <c r="I48" i="2"/>
  <c r="L47" i="2"/>
  <c r="M47" i="2" s="1"/>
  <c r="I47" i="2"/>
  <c r="I37" i="2"/>
  <c r="T20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36" i="2"/>
  <c r="I15" i="2"/>
  <c r="I14" i="2"/>
  <c r="I13" i="2"/>
  <c r="I12" i="2"/>
  <c r="I11" i="2"/>
  <c r="I10" i="2"/>
  <c r="I9" i="2"/>
  <c r="L35" i="2"/>
  <c r="M35" i="2" s="1"/>
  <c r="N35" i="2"/>
  <c r="I25" i="1" s="1"/>
  <c r="N34" i="2"/>
  <c r="I20" i="1" s="1"/>
  <c r="N33" i="2"/>
  <c r="I14" i="1" s="1"/>
  <c r="L34" i="2"/>
  <c r="M34" i="2" s="1"/>
  <c r="L33" i="2"/>
  <c r="M33" i="2" s="1"/>
  <c r="K89" i="4" a="1"/>
  <c r="K89" i="4" s="1"/>
  <c r="J89" i="4" a="1"/>
  <c r="J89" i="4" s="1"/>
  <c r="I89" i="4"/>
  <c r="K88" i="4" a="1"/>
  <c r="K88" i="4" s="1"/>
  <c r="J88" i="4" a="1"/>
  <c r="J88" i="4" s="1"/>
  <c r="I88" i="4"/>
  <c r="K87" i="4" a="1"/>
  <c r="K87" i="4" s="1"/>
  <c r="J87" i="4" a="1"/>
  <c r="J87" i="4" s="1"/>
  <c r="I87" i="4"/>
  <c r="K86" i="4" a="1"/>
  <c r="K86" i="4" s="1"/>
  <c r="J86" i="4" a="1"/>
  <c r="J86" i="4" s="1"/>
  <c r="I86" i="4"/>
  <c r="K85" i="4" a="1"/>
  <c r="K85" i="4" s="1"/>
  <c r="J85" i="4" a="1"/>
  <c r="J85" i="4" s="1"/>
  <c r="I85" i="4"/>
  <c r="K84" i="4" a="1"/>
  <c r="K84" i="4" s="1"/>
  <c r="J84" i="4" a="1"/>
  <c r="J84" i="4" s="1"/>
  <c r="I84" i="4"/>
  <c r="K83" i="4" a="1"/>
  <c r="K83" i="4" s="1"/>
  <c r="J83" i="4" a="1"/>
  <c r="J83" i="4" s="1"/>
  <c r="I83" i="4"/>
  <c r="K82" i="4" a="1"/>
  <c r="K82" i="4" s="1"/>
  <c r="J82" i="4" a="1"/>
  <c r="J82" i="4" s="1"/>
  <c r="I82" i="4"/>
  <c r="K81" i="4" a="1"/>
  <c r="K81" i="4" s="1"/>
  <c r="J81" i="4" a="1"/>
  <c r="J81" i="4" s="1"/>
  <c r="I81" i="4"/>
  <c r="K80" i="4" a="1"/>
  <c r="K80" i="4" s="1"/>
  <c r="J80" i="4" a="1"/>
  <c r="J80" i="4" s="1"/>
  <c r="I80" i="4"/>
  <c r="K79" i="4" a="1"/>
  <c r="K79" i="4" s="1"/>
  <c r="J79" i="4" a="1"/>
  <c r="J79" i="4" s="1"/>
  <c r="I79" i="4"/>
  <c r="K78" i="4" a="1"/>
  <c r="K78" i="4" s="1"/>
  <c r="J78" i="4" a="1"/>
  <c r="J78" i="4" s="1"/>
  <c r="I78" i="4"/>
  <c r="K77" i="4" a="1"/>
  <c r="K77" i="4" s="1"/>
  <c r="J77" i="4" a="1"/>
  <c r="J77" i="4" s="1"/>
  <c r="I77" i="4"/>
  <c r="K76" i="4" a="1"/>
  <c r="K76" i="4" s="1"/>
  <c r="J76" i="4" a="1"/>
  <c r="J76" i="4" s="1"/>
  <c r="I76" i="4"/>
  <c r="K75" i="4" a="1"/>
  <c r="K75" i="4" s="1"/>
  <c r="J75" i="4" a="1"/>
  <c r="J75" i="4" s="1"/>
  <c r="I75" i="4"/>
  <c r="K74" i="4" a="1"/>
  <c r="K74" i="4" s="1"/>
  <c r="J74" i="4" a="1"/>
  <c r="J74" i="4" s="1"/>
  <c r="I74" i="4"/>
  <c r="K73" i="4" a="1"/>
  <c r="K73" i="4" s="1"/>
  <c r="J73" i="4" a="1"/>
  <c r="J73" i="4" s="1"/>
  <c r="I73" i="4"/>
  <c r="K72" i="4" a="1"/>
  <c r="K72" i="4" s="1"/>
  <c r="J72" i="4" a="1"/>
  <c r="J72" i="4" s="1"/>
  <c r="I72" i="4"/>
  <c r="K71" i="4" a="1"/>
  <c r="K71" i="4" s="1"/>
  <c r="J71" i="4" a="1"/>
  <c r="J71" i="4" s="1"/>
  <c r="I71" i="4"/>
  <c r="K70" i="4" a="1"/>
  <c r="K70" i="4" s="1"/>
  <c r="J70" i="4" a="1"/>
  <c r="J70" i="4" s="1"/>
  <c r="I70" i="4"/>
  <c r="K69" i="4" a="1"/>
  <c r="K69" i="4" s="1"/>
  <c r="J69" i="4" a="1"/>
  <c r="J69" i="4" s="1"/>
  <c r="I69" i="4"/>
  <c r="K68" i="4" a="1"/>
  <c r="K68" i="4" s="1"/>
  <c r="J68" i="4" a="1"/>
  <c r="J68" i="4" s="1"/>
  <c r="I68" i="4"/>
  <c r="K67" i="4" a="1"/>
  <c r="K67" i="4" s="1"/>
  <c r="J67" i="4" a="1"/>
  <c r="J67" i="4" s="1"/>
  <c r="I67" i="4"/>
  <c r="K66" i="4" a="1"/>
  <c r="K66" i="4" s="1"/>
  <c r="J66" i="4" a="1"/>
  <c r="J66" i="4" s="1"/>
  <c r="I66" i="4"/>
  <c r="K65" i="4" a="1"/>
  <c r="K65" i="4" s="1"/>
  <c r="J65" i="4" a="1"/>
  <c r="J65" i="4" s="1"/>
  <c r="I65" i="4"/>
  <c r="K64" i="4" a="1"/>
  <c r="K64" i="4" s="1"/>
  <c r="J64" i="4" a="1"/>
  <c r="J64" i="4" s="1"/>
  <c r="I64" i="4"/>
  <c r="K63" i="4" a="1"/>
  <c r="K63" i="4" s="1"/>
  <c r="J63" i="4" a="1"/>
  <c r="J63" i="4" s="1"/>
  <c r="I63" i="4"/>
  <c r="K62" i="4" a="1"/>
  <c r="K62" i="4" s="1"/>
  <c r="J62" i="4" a="1"/>
  <c r="J62" i="4" s="1"/>
  <c r="I62" i="4"/>
  <c r="K60" i="4" a="1"/>
  <c r="K60" i="4" s="1"/>
  <c r="J60" i="4" a="1"/>
  <c r="J60" i="4" s="1"/>
  <c r="I60" i="4"/>
  <c r="K59" i="4" a="1"/>
  <c r="K59" i="4" s="1"/>
  <c r="J59" i="4" a="1"/>
  <c r="J59" i="4" s="1"/>
  <c r="I59" i="4"/>
  <c r="K58" i="4" a="1"/>
  <c r="K58" i="4" s="1"/>
  <c r="J58" i="4" a="1"/>
  <c r="J58" i="4" s="1"/>
  <c r="I58" i="4"/>
  <c r="K57" i="4" a="1"/>
  <c r="K57" i="4" s="1"/>
  <c r="J57" i="4" a="1"/>
  <c r="J57" i="4" s="1"/>
  <c r="I57" i="4"/>
  <c r="K56" i="4" a="1"/>
  <c r="K56" i="4" s="1"/>
  <c r="J56" i="4" a="1"/>
  <c r="J56" i="4" s="1"/>
  <c r="I56" i="4"/>
  <c r="K55" i="4" a="1"/>
  <c r="K55" i="4" s="1"/>
  <c r="J55" i="4" a="1"/>
  <c r="J55" i="4" s="1"/>
  <c r="I55" i="4"/>
  <c r="K54" i="4" a="1"/>
  <c r="K54" i="4" s="1"/>
  <c r="J54" i="4" a="1"/>
  <c r="J54" i="4" s="1"/>
  <c r="I54" i="4"/>
  <c r="K53" i="4" a="1"/>
  <c r="K53" i="4" s="1"/>
  <c r="J53" i="4" a="1"/>
  <c r="J53" i="4" s="1"/>
  <c r="I53" i="4"/>
  <c r="K52" i="4" a="1"/>
  <c r="K52" i="4" s="1"/>
  <c r="J52" i="4" a="1"/>
  <c r="J52" i="4" s="1"/>
  <c r="I52" i="4"/>
  <c r="K51" i="4" a="1"/>
  <c r="K51" i="4" s="1"/>
  <c r="J51" i="4" a="1"/>
  <c r="J51" i="4" s="1"/>
  <c r="I51" i="4"/>
  <c r="K50" i="4" a="1"/>
  <c r="K50" i="4" s="1"/>
  <c r="J50" i="4" a="1"/>
  <c r="J50" i="4" s="1"/>
  <c r="I50" i="4"/>
  <c r="K49" i="4" a="1"/>
  <c r="K49" i="4" s="1"/>
  <c r="J49" i="4" a="1"/>
  <c r="J49" i="4" s="1"/>
  <c r="I49" i="4"/>
  <c r="K48" i="4" a="1"/>
  <c r="K48" i="4" s="1"/>
  <c r="J48" i="4" a="1"/>
  <c r="J48" i="4" s="1"/>
  <c r="I48" i="4"/>
  <c r="K47" i="4" a="1"/>
  <c r="K47" i="4" s="1"/>
  <c r="J47" i="4" a="1"/>
  <c r="J47" i="4" s="1"/>
  <c r="I47" i="4"/>
  <c r="K46" i="4" a="1"/>
  <c r="K46" i="4" s="1"/>
  <c r="J46" i="4" a="1"/>
  <c r="J46" i="4" s="1"/>
  <c r="I46" i="4"/>
  <c r="K45" i="4" a="1"/>
  <c r="K45" i="4" s="1"/>
  <c r="J45" i="4" a="1"/>
  <c r="J45" i="4" s="1"/>
  <c r="I45" i="4"/>
  <c r="K44" i="4" a="1"/>
  <c r="K44" i="4" s="1"/>
  <c r="J44" i="4" a="1"/>
  <c r="J44" i="4" s="1"/>
  <c r="I44" i="4"/>
  <c r="K43" i="4" a="1"/>
  <c r="K43" i="4" s="1"/>
  <c r="J43" i="4" a="1"/>
  <c r="J43" i="4" s="1"/>
  <c r="I43" i="4"/>
  <c r="K42" i="4" a="1"/>
  <c r="K42" i="4" s="1"/>
  <c r="J42" i="4" a="1"/>
  <c r="J42" i="4" s="1"/>
  <c r="I42" i="4"/>
  <c r="K41" i="4" a="1"/>
  <c r="K41" i="4" s="1"/>
  <c r="J41" i="4" a="1"/>
  <c r="J41" i="4" s="1"/>
  <c r="I41" i="4"/>
  <c r="K40" i="4" a="1"/>
  <c r="K40" i="4" s="1"/>
  <c r="J40" i="4" a="1"/>
  <c r="J40" i="4" s="1"/>
  <c r="I40" i="4"/>
  <c r="K39" i="4" a="1"/>
  <c r="K39" i="4" s="1"/>
  <c r="J39" i="4" a="1"/>
  <c r="J39" i="4" s="1"/>
  <c r="I39" i="4"/>
  <c r="K38" i="4" a="1"/>
  <c r="K38" i="4" s="1"/>
  <c r="J38" i="4" a="1"/>
  <c r="J38" i="4" s="1"/>
  <c r="I38" i="4"/>
  <c r="K37" i="4" a="1"/>
  <c r="K37" i="4" s="1"/>
  <c r="J37" i="4" a="1"/>
  <c r="J37" i="4" s="1"/>
  <c r="I37" i="4"/>
  <c r="K36" i="4" a="1"/>
  <c r="K36" i="4" s="1"/>
  <c r="J36" i="4" a="1"/>
  <c r="J36" i="4" s="1"/>
  <c r="I36" i="4"/>
  <c r="K35" i="4" a="1"/>
  <c r="K35" i="4" s="1"/>
  <c r="J35" i="4" a="1"/>
  <c r="J35" i="4" s="1"/>
  <c r="I35" i="4"/>
  <c r="K33" i="4" a="1"/>
  <c r="K33" i="4" s="1"/>
  <c r="J33" i="4" a="1"/>
  <c r="J33" i="4" s="1"/>
  <c r="I33" i="4"/>
  <c r="K32" i="4" a="1"/>
  <c r="K32" i="4" s="1"/>
  <c r="J32" i="4" a="1"/>
  <c r="J32" i="4" s="1"/>
  <c r="I32" i="4"/>
  <c r="K31" i="4" a="1"/>
  <c r="K31" i="4" s="1"/>
  <c r="J31" i="4" a="1"/>
  <c r="J31" i="4" s="1"/>
  <c r="I31" i="4"/>
  <c r="K30" i="4" a="1"/>
  <c r="K30" i="4" s="1"/>
  <c r="J30" i="4" a="1"/>
  <c r="J30" i="4" s="1"/>
  <c r="I30" i="4"/>
  <c r="K29" i="4" a="1"/>
  <c r="K29" i="4" s="1"/>
  <c r="J29" i="4" a="1"/>
  <c r="J29" i="4" s="1"/>
  <c r="I29" i="4"/>
  <c r="K28" i="4" a="1"/>
  <c r="K28" i="4" s="1"/>
  <c r="J28" i="4" a="1"/>
  <c r="J28" i="4" s="1"/>
  <c r="I28" i="4"/>
  <c r="K27" i="4" a="1"/>
  <c r="K27" i="4" s="1"/>
  <c r="J27" i="4" a="1"/>
  <c r="J27" i="4" s="1"/>
  <c r="I27" i="4"/>
  <c r="K26" i="4" a="1"/>
  <c r="K26" i="4" s="1"/>
  <c r="J26" i="4" a="1"/>
  <c r="J26" i="4" s="1"/>
  <c r="I26" i="4"/>
  <c r="K25" i="4" a="1"/>
  <c r="K25" i="4" s="1"/>
  <c r="J25" i="4" a="1"/>
  <c r="J25" i="4" s="1"/>
  <c r="I25" i="4"/>
  <c r="K24" i="4" a="1"/>
  <c r="K24" i="4" s="1"/>
  <c r="J24" i="4" a="1"/>
  <c r="J24" i="4" s="1"/>
  <c r="I24" i="4"/>
  <c r="K23" i="4" a="1"/>
  <c r="K23" i="4" s="1"/>
  <c r="J23" i="4" a="1"/>
  <c r="J23" i="4" s="1"/>
  <c r="I23" i="4"/>
  <c r="K22" i="4" a="1"/>
  <c r="K22" i="4" s="1"/>
  <c r="J22" i="4" a="1"/>
  <c r="J22" i="4" s="1"/>
  <c r="I22" i="4"/>
  <c r="K20" i="4" a="1"/>
  <c r="K20" i="4" s="1"/>
  <c r="J20" i="4" a="1"/>
  <c r="J20" i="4" s="1"/>
  <c r="I20" i="4"/>
  <c r="K19" i="4" a="1"/>
  <c r="K19" i="4" s="1"/>
  <c r="J19" i="4" a="1"/>
  <c r="J19" i="4" s="1"/>
  <c r="I19" i="4"/>
  <c r="K18" i="4" a="1"/>
  <c r="K18" i="4" s="1"/>
  <c r="J18" i="4" a="1"/>
  <c r="J18" i="4" s="1"/>
  <c r="I18" i="4"/>
  <c r="K17" i="4" a="1"/>
  <c r="K17" i="4" s="1"/>
  <c r="J17" i="4" a="1"/>
  <c r="J17" i="4" s="1"/>
  <c r="I17" i="4"/>
  <c r="K16" i="4" a="1"/>
  <c r="K16" i="4" s="1"/>
  <c r="J16" i="4" a="1"/>
  <c r="J16" i="4" s="1"/>
  <c r="I16" i="4"/>
  <c r="K15" i="4" a="1"/>
  <c r="K15" i="4" s="1"/>
  <c r="J15" i="4" a="1"/>
  <c r="J15" i="4" s="1"/>
  <c r="I15" i="4"/>
  <c r="K14" i="4" a="1"/>
  <c r="K14" i="4" s="1"/>
  <c r="J14" i="4" a="1"/>
  <c r="J14" i="4" s="1"/>
  <c r="I14" i="4"/>
  <c r="K12" i="4" a="1"/>
  <c r="K12" i="4" s="1"/>
  <c r="J12" i="4" a="1"/>
  <c r="J12" i="4" s="1"/>
  <c r="I12" i="4"/>
  <c r="K10" i="4" a="1"/>
  <c r="K10" i="4" s="1"/>
  <c r="J10" i="4" a="1"/>
  <c r="J10" i="4" s="1"/>
  <c r="I10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0" i="4"/>
  <c r="AB19" i="4"/>
  <c r="AB18" i="4"/>
  <c r="AB17" i="4"/>
  <c r="AB16" i="4"/>
  <c r="AB15" i="4"/>
  <c r="AB14" i="4"/>
  <c r="AB12" i="4"/>
  <c r="AB10" i="4"/>
  <c r="N32" i="2"/>
  <c r="I24" i="1" s="1"/>
  <c r="N31" i="2"/>
  <c r="N37" i="2"/>
  <c r="I13" i="1" s="1"/>
  <c r="T19" i="2"/>
  <c r="N30" i="2"/>
  <c r="I15" i="1" s="1"/>
  <c r="I21" i="1" l="1"/>
  <c r="I18" i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L32" i="2"/>
  <c r="M32" i="2" s="1"/>
  <c r="L31" i="2"/>
  <c r="M31" i="2" s="1"/>
  <c r="K19" i="1" s="1"/>
  <c r="L37" i="2"/>
  <c r="M37" i="2" s="1"/>
  <c r="L30" i="2"/>
  <c r="M30" i="2" s="1"/>
  <c r="K15" i="1" s="1"/>
  <c r="D11" i="1"/>
  <c r="N29" i="2"/>
  <c r="L29" i="2"/>
  <c r="M29" i="2" s="1"/>
  <c r="N28" i="2"/>
  <c r="I71" i="1" s="1"/>
  <c r="L28" i="2"/>
  <c r="M28" i="2" s="1"/>
  <c r="K71" i="1" s="1"/>
  <c r="N27" i="2"/>
  <c r="I70" i="1" s="1"/>
  <c r="L27" i="2"/>
  <c r="M27" i="2" s="1"/>
  <c r="K70" i="1" s="1"/>
  <c r="N26" i="2"/>
  <c r="I69" i="1" s="1"/>
  <c r="L26" i="2"/>
  <c r="M26" i="2" s="1"/>
  <c r="K69" i="1" s="1"/>
  <c r="N25" i="2"/>
  <c r="I68" i="1" s="1"/>
  <c r="L25" i="2"/>
  <c r="M25" i="2" s="1"/>
  <c r="K68" i="1" s="1"/>
  <c r="N24" i="2"/>
  <c r="L24" i="2"/>
  <c r="M24" i="2" s="1"/>
  <c r="N23" i="2"/>
  <c r="I65" i="1" s="1"/>
  <c r="L23" i="2"/>
  <c r="M23" i="2" s="1"/>
  <c r="K65" i="1" s="1"/>
  <c r="N22" i="2"/>
  <c r="I60" i="1" s="1"/>
  <c r="L22" i="2"/>
  <c r="M22" i="2" s="1"/>
  <c r="K60" i="1" s="1"/>
  <c r="N21" i="2"/>
  <c r="I55" i="1" s="1"/>
  <c r="L21" i="2"/>
  <c r="M21" i="2" s="1"/>
  <c r="K55" i="1" s="1"/>
  <c r="N20" i="2"/>
  <c r="L20" i="2"/>
  <c r="M20" i="2" s="1"/>
  <c r="N19" i="2"/>
  <c r="L19" i="2"/>
  <c r="M19" i="2" s="1"/>
  <c r="N18" i="2"/>
  <c r="I46" i="1" s="1"/>
  <c r="L18" i="2"/>
  <c r="M18" i="2" s="1"/>
  <c r="K46" i="1" s="1"/>
  <c r="T18" i="2"/>
  <c r="N17" i="2"/>
  <c r="L17" i="2"/>
  <c r="M17" i="2" s="1"/>
  <c r="T17" i="2"/>
  <c r="N16" i="2"/>
  <c r="L16" i="2"/>
  <c r="M16" i="2" s="1"/>
  <c r="T16" i="2"/>
  <c r="N36" i="2"/>
  <c r="L36" i="2"/>
  <c r="M36" i="2" s="1"/>
  <c r="T15" i="2"/>
  <c r="N15" i="2"/>
  <c r="L15" i="2"/>
  <c r="M15" i="2" s="1"/>
  <c r="T14" i="2"/>
  <c r="N14" i="2"/>
  <c r="I36" i="1" s="1"/>
  <c r="L14" i="2"/>
  <c r="M14" i="2" s="1"/>
  <c r="K36" i="1" s="1"/>
  <c r="T13" i="2"/>
  <c r="N13" i="2"/>
  <c r="L13" i="2"/>
  <c r="M13" i="2" s="1"/>
  <c r="T12" i="2"/>
  <c r="N12" i="2"/>
  <c r="L12" i="2"/>
  <c r="M12" i="2" s="1"/>
  <c r="T11" i="2"/>
  <c r="N11" i="2"/>
  <c r="L11" i="2"/>
  <c r="M11" i="2" s="1"/>
  <c r="T10" i="2"/>
  <c r="N10" i="2"/>
  <c r="L10" i="2"/>
  <c r="M10" i="2" s="1"/>
  <c r="T9" i="2"/>
  <c r="N9" i="2"/>
  <c r="L9" i="2"/>
  <c r="M9" i="2" s="1"/>
  <c r="K27" i="1" l="1"/>
  <c r="K72" i="1"/>
  <c r="K78" i="1"/>
  <c r="K29" i="1"/>
  <c r="K32" i="1"/>
  <c r="K18" i="1"/>
  <c r="K13" i="1"/>
  <c r="I27" i="1"/>
  <c r="I72" i="1"/>
  <c r="I32" i="1"/>
  <c r="I78" i="1"/>
  <c r="I29" i="1"/>
  <c r="K12" i="1"/>
  <c r="K41" i="1"/>
  <c r="K34" i="1"/>
  <c r="K9" i="1"/>
  <c r="I50" i="1"/>
  <c r="I42" i="1"/>
  <c r="I52" i="1"/>
  <c r="I76" i="1"/>
  <c r="I62" i="1"/>
  <c r="I44" i="1"/>
  <c r="I63" i="1"/>
  <c r="I47" i="1"/>
  <c r="I54" i="1"/>
  <c r="I58" i="1"/>
  <c r="I51" i="1"/>
  <c r="I61" i="1"/>
  <c r="K50" i="1"/>
  <c r="K47" i="1"/>
  <c r="K62" i="1"/>
  <c r="K52" i="1"/>
  <c r="K63" i="1"/>
  <c r="K54" i="1"/>
  <c r="K76" i="1"/>
  <c r="K42" i="1"/>
  <c r="K44" i="1"/>
  <c r="K61" i="1"/>
  <c r="K58" i="1"/>
  <c r="K51" i="1"/>
  <c r="I41" i="1"/>
  <c r="I12" i="1"/>
  <c r="I34" i="1"/>
  <c r="I9" i="1"/>
  <c r="K79" i="1"/>
  <c r="K38" i="1"/>
  <c r="K8" i="1"/>
  <c r="K73" i="1"/>
  <c r="K66" i="1"/>
  <c r="K24" i="1"/>
  <c r="K21" i="1"/>
  <c r="K11" i="1"/>
  <c r="K43" i="1"/>
  <c r="K10" i="1"/>
  <c r="K17" i="1"/>
  <c r="K75" i="1"/>
  <c r="K26" i="1"/>
  <c r="K7" i="1"/>
  <c r="K23" i="1"/>
  <c r="K64" i="1"/>
  <c r="K56" i="1"/>
  <c r="K67" i="1"/>
  <c r="K28" i="1"/>
  <c r="I38" i="1"/>
  <c r="I79" i="1"/>
  <c r="K59" i="1"/>
  <c r="K22" i="1"/>
  <c r="K57" i="1"/>
  <c r="K77" i="1"/>
  <c r="K39" i="1"/>
  <c r="K74" i="1"/>
  <c r="K37" i="1"/>
  <c r="K48" i="1"/>
  <c r="I73" i="1"/>
  <c r="I66" i="1"/>
  <c r="I8" i="1"/>
  <c r="I53" i="1"/>
  <c r="I35" i="1"/>
  <c r="I16" i="1"/>
  <c r="K40" i="1"/>
  <c r="K45" i="1"/>
  <c r="K49" i="1"/>
  <c r="I80" i="1"/>
  <c r="I6" i="1"/>
  <c r="I31" i="1"/>
  <c r="I33" i="1"/>
  <c r="I11" i="1"/>
  <c r="I7" i="1"/>
  <c r="I26" i="1"/>
  <c r="I64" i="1"/>
  <c r="I28" i="1"/>
  <c r="I10" i="1"/>
  <c r="I17" i="1"/>
  <c r="I56" i="1"/>
  <c r="I67" i="1"/>
  <c r="I43" i="1"/>
  <c r="I75" i="1"/>
  <c r="I23" i="1"/>
  <c r="K16" i="1"/>
  <c r="K35" i="1"/>
  <c r="K53" i="1"/>
  <c r="I59" i="1"/>
  <c r="I22" i="1"/>
  <c r="I77" i="1"/>
  <c r="I57" i="1"/>
  <c r="I37" i="1"/>
  <c r="I74" i="1"/>
  <c r="I48" i="1"/>
  <c r="I39" i="1"/>
  <c r="K80" i="1"/>
  <c r="K6" i="1"/>
  <c r="K33" i="1"/>
  <c r="K31" i="1"/>
  <c r="I49" i="1"/>
  <c r="I45" i="1"/>
  <c r="I40" i="1"/>
  <c r="K3" i="1" l="1"/>
</calcChain>
</file>

<file path=xl/sharedStrings.xml><?xml version="1.0" encoding="utf-8"?>
<sst xmlns="http://schemas.openxmlformats.org/spreadsheetml/2006/main" count="1086" uniqueCount="644">
  <si>
    <t>색상</t>
  </si>
  <si>
    <t>: 입력해야 할 부분</t>
  </si>
  <si>
    <t>번호</t>
  </si>
  <si>
    <t>연도</t>
  </si>
  <si>
    <t>연번</t>
  </si>
  <si>
    <t>논문제목</t>
  </si>
  <si>
    <t>Rating</t>
    <phoneticPr fontId="2" type="noConversion"/>
  </si>
  <si>
    <t>게재학술지명</t>
  </si>
  <si>
    <t>ISSN</t>
  </si>
  <si>
    <t>e-ISSN</t>
  </si>
  <si>
    <t>No.</t>
  </si>
  <si>
    <t>주저자 성명</t>
  </si>
  <si>
    <t>박두희</t>
  </si>
  <si>
    <t>KSCE Journal of Civil Engineering</t>
  </si>
  <si>
    <t>Bulletin of the Seismological Society of America</t>
    <phoneticPr fontId="2" type="noConversion"/>
  </si>
  <si>
    <t>Advances in Civil Engineering</t>
  </si>
  <si>
    <t>Applied Sciences-Basel</t>
  </si>
  <si>
    <t>Mitigation method of rockfall hazard on rock slope using large-scale fields and numerical simulations</t>
  </si>
  <si>
    <t>Advances in Civil Engineering</t>
    <phoneticPr fontId="2" type="noConversion"/>
  </si>
  <si>
    <t>Numerical Simulation of Damage Evolution of Daikai Station during 1985 Kobe Earthquake</t>
  </si>
  <si>
    <t>Engineering Structures</t>
  </si>
  <si>
    <t>Estimation of Seismically Induced Longitudinal Strain in Pipelines Subjected to Incident Shear Wave</t>
  </si>
  <si>
    <t>Effect of Nonlinear Soil Model on Seismic Response of Slopes Composed of Granular Soil</t>
  </si>
  <si>
    <t>Development of Simulation Based p-Multipliers for Laterally Loaded Pile Groups in Granular Soil using 3D Nonlinear Finite Element Model</t>
  </si>
  <si>
    <t>Testing Ground-Motion Prediction Equations against Moderate Magnitude Earthquake Data Recorded in Korea</t>
  </si>
  <si>
    <t>Effect of characteristics of ground motion on seismically induced sliding surface of slopes</t>
    <phoneticPr fontId="2" type="noConversion"/>
  </si>
  <si>
    <t>Simulation-based site amplification model for shallow bedrock sites in Korea</t>
    <phoneticPr fontId="2" type="noConversion"/>
  </si>
  <si>
    <t>Earthquake Spectra</t>
    <phoneticPr fontId="2" type="noConversion"/>
  </si>
  <si>
    <t>박두희</t>
    <phoneticPr fontId="2" type="noConversion"/>
  </si>
  <si>
    <t>Testing performance of pore pressure models implemented in one-dimensional site response analysis program against centrifuge test data measured in mildly sloping ground</t>
    <phoneticPr fontId="2" type="noConversion"/>
  </si>
  <si>
    <t>Soil Dynamics and Earthquake Engineering</t>
    <phoneticPr fontId="2" type="noConversion"/>
  </si>
  <si>
    <t>Effect of intra-layer vs fluctuation on linear seismic site response</t>
    <phoneticPr fontId="2" type="noConversion"/>
  </si>
  <si>
    <t>KSCE Journal of Civil Engineering</t>
    <phoneticPr fontId="2" type="noConversion"/>
  </si>
  <si>
    <t>Numerical response of pile foundations in granular soils subjected to lateral load</t>
    <phoneticPr fontId="2" type="noConversion"/>
  </si>
  <si>
    <t>Geomechanics and Engineering</t>
    <phoneticPr fontId="2" type="noConversion"/>
  </si>
  <si>
    <t>Influence of horizontally variable soil properties on nonlinear seismic site response and ground motion coherency</t>
    <phoneticPr fontId="2" type="noConversion"/>
  </si>
  <si>
    <t>Earthquake Engineering &amp; Structural Dynamics</t>
    <phoneticPr fontId="2" type="noConversion"/>
  </si>
  <si>
    <t>Determining of Ground Condition Criteria for Dam Reinforced RIM Grouting</t>
    <phoneticPr fontId="2" type="noConversion"/>
  </si>
  <si>
    <t>Analysis of surface settlement troughs induced by twin shield tunnels in soil: A case study</t>
    <phoneticPr fontId="2" type="noConversion"/>
  </si>
  <si>
    <t>Assessment of heavy metal and oil-contaminated silty sand treatment by electrical resistance heating method</t>
    <phoneticPr fontId="2" type="noConversion"/>
  </si>
  <si>
    <t>Evaluation of indirect-heated microwave thermal desorption treatment on engineering properties of lubricant-contaminated soil</t>
    <phoneticPr fontId="2" type="noConversion"/>
  </si>
  <si>
    <t>Seismic fragility assessment for cantilever retaining walls with various backfill slopes in South Korea</t>
    <phoneticPr fontId="2" type="noConversion"/>
  </si>
  <si>
    <t>Novel hybrid MFO-XGBoost model for predicting the racking ratio of the rectangular tunnels subjected to seismic loading</t>
    <phoneticPr fontId="2" type="noConversion"/>
  </si>
  <si>
    <t>Transportation Geotechnics</t>
    <phoneticPr fontId="2" type="noConversion"/>
  </si>
  <si>
    <t>Development of site classification system and seismic site coefficients for Korea</t>
    <phoneticPr fontId="2" type="noConversion"/>
  </si>
  <si>
    <t>Journal of Earthquake Engineering</t>
    <phoneticPr fontId="2" type="noConversion"/>
  </si>
  <si>
    <t>Site amplification prediction model of shallow bedrock sites based on machine learning models</t>
    <phoneticPr fontId="2" type="noConversion"/>
  </si>
  <si>
    <t>Seismic damage evaluation of double-box metro tunnel accounting for soil stiffness using three-dimensional finite element analysis</t>
    <phoneticPr fontId="2" type="noConversion"/>
  </si>
  <si>
    <t>Structures</t>
    <phoneticPr fontId="2" type="noConversion"/>
  </si>
  <si>
    <t>Rapid damage state classification for underground box tunnels using machine learning</t>
    <phoneticPr fontId="2" type="noConversion"/>
  </si>
  <si>
    <t>Structure and Infrastructure Engineering</t>
    <phoneticPr fontId="2" type="noConversion"/>
  </si>
  <si>
    <t>Selection of efficient earthquake intensity measures for evaluating seismic fragility of concrete face rockfill dam</t>
    <phoneticPr fontId="2" type="noConversion"/>
  </si>
  <si>
    <t>Computers and Geotechnics</t>
    <phoneticPr fontId="2" type="noConversion"/>
  </si>
  <si>
    <t>Estimation of VS30 using shallow depth time-averaged shear wave velocity of Rawalpindi?Islamabad, Pakistan</t>
    <phoneticPr fontId="2" type="noConversion"/>
  </si>
  <si>
    <t>Geomatics Natural Hazards &amp; Risk</t>
    <phoneticPr fontId="2" type="noConversion"/>
  </si>
  <si>
    <t>Geotechnical data based seismic microzonation in Seoul using region-specific and code-based site amplification models</t>
    <phoneticPr fontId="2" type="noConversion"/>
  </si>
  <si>
    <t>Bulletin of Earthquake Engineering</t>
    <phoneticPr fontId="2" type="noConversion"/>
  </si>
  <si>
    <t>Evaluation of Modified Frequency Dependent Equivalent Linear Method for Deconvolution Site Response Analysis</t>
    <phoneticPr fontId="2" type="noConversion"/>
  </si>
  <si>
    <t>Seismic Performance Management of Aged Road Facilities in Korea: Part 1 — Fragility Curves</t>
    <phoneticPr fontId="2" type="noConversion"/>
  </si>
  <si>
    <t>Probabilistic assessment of seismic performance of slopes considering the sensitivity of sliding surface to input motion</t>
    <phoneticPr fontId="2" type="noConversion"/>
  </si>
  <si>
    <t>Predicting Blast-Induced Damage and Dynamic Response of Drill-and-Blast Tunnel Using Three-Dimensional Finite Element Analysis</t>
    <phoneticPr fontId="2" type="noConversion"/>
  </si>
  <si>
    <t>Applied Sciences-Basel</t>
    <phoneticPr fontId="2" type="noConversion"/>
  </si>
  <si>
    <t>Re-evaluation of One-Dimensional Site Response Methods Using Vs Adjusted Borehole Arrays</t>
    <phoneticPr fontId="2" type="noConversion"/>
  </si>
  <si>
    <t>Spatial coherency analysis of seismic motions from a hard rock site dense array in Busan, Korea</t>
    <phoneticPr fontId="2" type="noConversion"/>
  </si>
  <si>
    <t>Assessments of Liquefaction Triggering Using In Situ and Laboratory Tests in Pohang, South Korea</t>
    <phoneticPr fontId="2" type="noConversion"/>
  </si>
  <si>
    <t>Journal of Geotechnical and Geoenvironmental Engineering</t>
    <phoneticPr fontId="2" type="noConversion"/>
  </si>
  <si>
    <t>Novel method to estimate horizontal variability of shear wave velocity through multichannel analysis of surface waves</t>
    <phoneticPr fontId="2" type="noConversion"/>
  </si>
  <si>
    <t>Engineering Geology</t>
    <phoneticPr fontId="2" type="noConversion"/>
  </si>
  <si>
    <t xml:space="preserve">Updated : </t>
  </si>
  <si>
    <t xml:space="preserve">학술지판정 및 IF, ES 산출기준 : </t>
  </si>
  <si>
    <t>JCR 기준 /</t>
  </si>
  <si>
    <t>년도</t>
  </si>
  <si>
    <t xml:space="preserve">JCR link : </t>
  </si>
  <si>
    <t>https://jcr.clarivate.com/JCRLandingPageAction.action</t>
  </si>
  <si>
    <t xml:space="preserve">보정 IF, 보정 ES link : </t>
  </si>
  <si>
    <t>http://bkplus.nrf.re.kr/bkms</t>
  </si>
  <si>
    <t xml:space="preserve">산정기준 : </t>
    <phoneticPr fontId="2" type="noConversion"/>
  </si>
  <si>
    <t>1) JIF Percentile이 높을수록, 2) Category에서 더 높은 rating으로 선정</t>
    <phoneticPr fontId="2" type="noConversion"/>
  </si>
  <si>
    <t>학술지명</t>
  </si>
  <si>
    <t>ISBN</t>
  </si>
  <si>
    <t>Categories</t>
  </si>
  <si>
    <t>N of Rank</t>
  </si>
  <si>
    <t>R of Rank</t>
  </si>
  <si>
    <t>JIF Percentile(%)</t>
  </si>
  <si>
    <t>Top xx%</t>
  </si>
  <si>
    <t>Rating</t>
    <phoneticPr fontId="2" type="noConversion"/>
  </si>
  <si>
    <t>IF</t>
  </si>
  <si>
    <t>ES</t>
  </si>
  <si>
    <t xml:space="preserve"># of Journal : </t>
  </si>
  <si>
    <t xml:space="preserve">20% of Journal : </t>
  </si>
  <si>
    <t>SCI(E)</t>
  </si>
  <si>
    <t>1570-761X</t>
  </si>
  <si>
    <t>1573-1456</t>
  </si>
  <si>
    <t>Geosciences, Multidisciplinary</t>
    <phoneticPr fontId="2" type="noConversion"/>
  </si>
  <si>
    <t>Engineering, Geological</t>
  </si>
  <si>
    <t>0267-7261</t>
  </si>
  <si>
    <t>1879-341X</t>
  </si>
  <si>
    <t>Engineering, Civil</t>
  </si>
  <si>
    <t>Ocean Engineering</t>
    <phoneticPr fontId="2" type="noConversion"/>
  </si>
  <si>
    <t>0029-8018</t>
  </si>
  <si>
    <t>1873-5258</t>
    <phoneticPr fontId="2" type="noConversion"/>
  </si>
  <si>
    <t>Oceanography</t>
    <phoneticPr fontId="2" type="noConversion"/>
  </si>
  <si>
    <t>Geochemistry &amp; Geophysics</t>
  </si>
  <si>
    <t>Tunnelling and Underground Space Technology</t>
    <phoneticPr fontId="2" type="noConversion"/>
  </si>
  <si>
    <t>0886-7798</t>
  </si>
  <si>
    <t>1878-4364</t>
    <phoneticPr fontId="2" type="noConversion"/>
  </si>
  <si>
    <t>Physics, Applied</t>
  </si>
  <si>
    <t>0037-1106</t>
  </si>
  <si>
    <t>1943-3573</t>
  </si>
  <si>
    <t>Engineering, Ocean</t>
  </si>
  <si>
    <t>Rock Mechanics and Rock Engineering</t>
    <phoneticPr fontId="2" type="noConversion"/>
  </si>
  <si>
    <t>1434-453X</t>
  </si>
  <si>
    <t>1687-8094</t>
  </si>
  <si>
    <t>Construction &amp; Building Technology</t>
    <phoneticPr fontId="2" type="noConversion"/>
  </si>
  <si>
    <t>-</t>
    <phoneticPr fontId="2" type="noConversion"/>
  </si>
  <si>
    <t>Engineering, Multidisciplinary</t>
    <phoneticPr fontId="2" type="noConversion"/>
  </si>
  <si>
    <t>Engineering, Multidisciplinary</t>
    <phoneticPr fontId="2" type="noConversion"/>
  </si>
  <si>
    <t>1976-3808</t>
  </si>
  <si>
    <t>Engineering, Mechanical</t>
    <phoneticPr fontId="2" type="noConversion"/>
  </si>
  <si>
    <t>Engineering Structures</t>
    <phoneticPr fontId="2" type="noConversion"/>
  </si>
  <si>
    <t>1873-7323</t>
  </si>
  <si>
    <t>2092-6219</t>
  </si>
  <si>
    <t>Engineering Computations</t>
    <phoneticPr fontId="2" type="noConversion"/>
  </si>
  <si>
    <t>1758-7077</t>
  </si>
  <si>
    <t>8755-2930</t>
    <phoneticPr fontId="2" type="noConversion"/>
  </si>
  <si>
    <t>1944-8201</t>
    <phoneticPr fontId="2" type="noConversion"/>
  </si>
  <si>
    <t>0098-8847</t>
    <phoneticPr fontId="2" type="noConversion"/>
  </si>
  <si>
    <t>1096-9845</t>
    <phoneticPr fontId="2" type="noConversion"/>
  </si>
  <si>
    <t>2214-3912</t>
    <phoneticPr fontId="2" type="noConversion"/>
  </si>
  <si>
    <t>2214-3912</t>
    <phoneticPr fontId="2" type="noConversion"/>
  </si>
  <si>
    <t>1363-2469</t>
    <phoneticPr fontId="2" type="noConversion"/>
  </si>
  <si>
    <t>1559-808X</t>
    <phoneticPr fontId="2" type="noConversion"/>
  </si>
  <si>
    <t>2352-0124</t>
    <phoneticPr fontId="2" type="noConversion"/>
  </si>
  <si>
    <t>2352-0124</t>
    <phoneticPr fontId="2" type="noConversion"/>
  </si>
  <si>
    <t>1573-2479</t>
    <phoneticPr fontId="2" type="noConversion"/>
  </si>
  <si>
    <t>1744-8980</t>
    <phoneticPr fontId="2" type="noConversion"/>
  </si>
  <si>
    <t>0266-352X</t>
    <phoneticPr fontId="2" type="noConversion"/>
  </si>
  <si>
    <t>1873-7633</t>
    <phoneticPr fontId="2" type="noConversion"/>
  </si>
  <si>
    <t>1947-5705</t>
    <phoneticPr fontId="2" type="noConversion"/>
  </si>
  <si>
    <t>1947-5713</t>
    <phoneticPr fontId="2" type="noConversion"/>
  </si>
  <si>
    <t>0013-7952</t>
    <phoneticPr fontId="2" type="noConversion"/>
  </si>
  <si>
    <t>1872-6917</t>
    <phoneticPr fontId="2" type="noConversion"/>
  </si>
  <si>
    <t>IF</t>
    <phoneticPr fontId="2" type="noConversion"/>
  </si>
  <si>
    <t>ES</t>
    <phoneticPr fontId="2" type="noConversion"/>
  </si>
  <si>
    <t>Engineering Geology</t>
  </si>
  <si>
    <t>Soil Dynamics and Earthquake Engineering</t>
  </si>
  <si>
    <t>Tunnelling and Underground Space Technology</t>
  </si>
  <si>
    <t>Evaluation of seismic site factors in the Mississippi Embayment. II. Probabilistic seismic hazard analysis with nonlinear site effects</t>
  </si>
  <si>
    <t>International Journal of Rock Mechanics and Mining Sciences</t>
  </si>
  <si>
    <t>Canadian geotechnical journal</t>
    <phoneticPr fontId="2" type="noConversion"/>
  </si>
  <si>
    <t>Geotechnique</t>
    <phoneticPr fontId="2" type="noConversion"/>
  </si>
  <si>
    <t>International Journal of Rock Mechanics and Mining Sciences</t>
    <phoneticPr fontId="2" type="noConversion"/>
  </si>
  <si>
    <t>0008-3674</t>
    <phoneticPr fontId="2" type="noConversion"/>
  </si>
  <si>
    <t>1208-6010</t>
    <phoneticPr fontId="2" type="noConversion"/>
  </si>
  <si>
    <t>Journal of Coastal Research</t>
    <phoneticPr fontId="2" type="noConversion"/>
  </si>
  <si>
    <t>0749-0208</t>
    <phoneticPr fontId="2" type="noConversion"/>
  </si>
  <si>
    <t>1551-5036</t>
    <phoneticPr fontId="2" type="noConversion"/>
  </si>
  <si>
    <t>GEOGRAPHY, PHYSICAL</t>
  </si>
  <si>
    <t>GEOGRAPHY, PHYSICAL</t>
    <phoneticPr fontId="2" type="noConversion"/>
  </si>
  <si>
    <t>0016-8505</t>
    <phoneticPr fontId="2" type="noConversion"/>
  </si>
  <si>
    <t>1751-7656</t>
    <phoneticPr fontId="2" type="noConversion"/>
  </si>
  <si>
    <t>International Journal of Rock Mechanics and Mining Sciences</t>
    <phoneticPr fontId="2" type="noConversion"/>
  </si>
  <si>
    <t>1365-1609</t>
    <phoneticPr fontId="2" type="noConversion"/>
  </si>
  <si>
    <t>1873-4545</t>
    <phoneticPr fontId="2" type="noConversion"/>
  </si>
  <si>
    <t>논문제목(한글)</t>
  </si>
  <si>
    <t>논문제목(영어)</t>
  </si>
  <si>
    <t>게재정보</t>
  </si>
  <si>
    <t>총 저자</t>
  </si>
  <si>
    <t>게재논문집명(한글)</t>
  </si>
  <si>
    <t>게재논문집명(영어)</t>
  </si>
  <si>
    <t>학술지구분</t>
  </si>
  <si>
    <t>DOI</t>
  </si>
  <si>
    <t>학술대회발표구분</t>
  </si>
  <si>
    <t>Volume
(권)</t>
  </si>
  <si>
    <t>Issue
(호)</t>
  </si>
  <si>
    <t>쪽</t>
  </si>
  <si>
    <t>연월(YYYYMM)</t>
  </si>
  <si>
    <t>제1저자</t>
  </si>
  <si>
    <t>교신 저자</t>
  </si>
  <si>
    <t>기타 저자1</t>
  </si>
  <si>
    <t>기타 저자2</t>
  </si>
  <si>
    <t>기타 저자3</t>
  </si>
  <si>
    <t>기타 저자4</t>
  </si>
  <si>
    <t>기타 저자5</t>
  </si>
  <si>
    <t>기타 저자6</t>
  </si>
  <si>
    <t>기타 저자7</t>
  </si>
  <si>
    <t>총 저자수
(T)</t>
  </si>
  <si>
    <t>한국지반공학회 논문집</t>
  </si>
  <si>
    <t>Journal of the Korean Geotechnical Society</t>
  </si>
  <si>
    <t>A Comparative Study of Various Approaches of Seismic Ground Response Analyses by Using a Round Robin Test Methodology</t>
    <phoneticPr fontId="2" type="noConversion"/>
  </si>
  <si>
    <t>Comprehensive Evaluation of Results of Ground Response analysis Round Robin Test</t>
    <phoneticPr fontId="2" type="noConversion"/>
  </si>
  <si>
    <t>이축압축 조건에서 실험체/재하판 경계면상의 마찰저항 감소를 위한 롤러 지지된 피스톤 형태의 하중재하판의 개발</t>
    <phoneticPr fontId="2" type="noConversion"/>
  </si>
  <si>
    <t>Development of a roller supported piston type loading platen reducing the frictional restraint along the interfaces between the specimen and platens under the biaxial loading condition</t>
    <phoneticPr fontId="2" type="noConversion"/>
  </si>
  <si>
    <t>한국터널지하공간학회 논문집</t>
  </si>
  <si>
    <t>Journal of Korean Tunnelling and Underground Space Association</t>
  </si>
  <si>
    <t>Verification of Frequency-dependent equivalent linear method</t>
    <phoneticPr fontId="2" type="noConversion"/>
  </si>
  <si>
    <t>한국 토양 프로파일의 비선형 지반 효과 평가</t>
    <phoneticPr fontId="2" type="noConversion"/>
  </si>
  <si>
    <t>Estimation of nonlinear site effects of soil profiles in Korea</t>
    <phoneticPr fontId="2" type="noConversion"/>
  </si>
  <si>
    <t>공간적으로 변화하는 지반 운동에 따른 터널 응답 예측</t>
    <phoneticPr fontId="2" type="noConversion"/>
  </si>
  <si>
    <t>Prediction of Tunnel Response by Spatially Variable Ground Motion</t>
    <phoneticPr fontId="2" type="noConversion"/>
  </si>
  <si>
    <t>한국지반환경공학회 논문집</t>
  </si>
  <si>
    <t>Journal of the Korean Geoenvironmental Society</t>
  </si>
  <si>
    <t>Development of Probabilistic Seismic Coefficients of Korea</t>
    <phoneticPr fontId="2" type="noConversion"/>
  </si>
  <si>
    <t>Fracture Behaviors of Jointed Rock Model Containing an Opening Under Biaxial Compression Condition</t>
    <phoneticPr fontId="2" type="noConversion"/>
  </si>
  <si>
    <t>신(新) 확률론적 지진재해분석 및 국내 지진계수 개발 Part I: 신(新) 확률론적 지진재해분석 기법 적용 및 검증</t>
    <phoneticPr fontId="2" type="noConversion"/>
  </si>
  <si>
    <t>Development of New Probabilistic Seismic Hazard Analysis and Seismic Coefficients of Korea Part I: Application and Verification of a Novel Probabilistic Seismic Hazard Analysis Procedure</t>
    <phoneticPr fontId="2" type="noConversion"/>
  </si>
  <si>
    <t>한국의 새로운 확률론적 지진 위해도 해석 및 지진 계수 개발 II: 확률론적 지반 계수 도출</t>
    <phoneticPr fontId="2" type="noConversion"/>
  </si>
  <si>
    <t>Development of New Probabilistic Seismic Hazard Analysis and Seismic Coefficients of Korea Part II: Derivation of Probabilistic Site Coefficients</t>
    <phoneticPr fontId="2" type="noConversion"/>
  </si>
  <si>
    <t>간소화된 방법과 유효 응력 지반 응답 해석을 이용한 액상화 가능성 평가</t>
    <phoneticPr fontId="2" type="noConversion"/>
  </si>
  <si>
    <t>Evaluation of liquefaction potential with simplified method and effective-stress site response analysis</t>
    <phoneticPr fontId="2" type="noConversion"/>
  </si>
  <si>
    <t>터널의 횡방향 지진 해석 II: 동적 해석을 통한 지진 터널 응답 평가</t>
    <phoneticPr fontId="2" type="noConversion"/>
  </si>
  <si>
    <t>Seismic analysis of tunnel in transverse direction part II: Evaluation of seismic tunnel response via dynamic analysis</t>
    <phoneticPr fontId="2" type="noConversion"/>
  </si>
  <si>
    <t>터널의 횡방향 지진 해석 I: 지진 변위를 이용한 터널 응답 추정</t>
    <phoneticPr fontId="2" type="noConversion"/>
  </si>
  <si>
    <t>Seismic analysis of tunnel in transverse direction part I: Estimation of seismic tunnel response via method of seismic displacement</t>
    <phoneticPr fontId="2" type="noConversion"/>
  </si>
  <si>
    <t>스탠딩 칼럼 웰 지열 히트 펌프 시스템의 수치 시뮬레이션 II: 스탠딩 칼럼 웰 성능 평가를 위한 매개변수 연구</t>
    <phoneticPr fontId="2" type="noConversion"/>
  </si>
  <si>
    <t>Numerical Simulation of Standing Column Well Ground Heat Pump System Part II: Parametric Study for Evaluation of the Performance of Standing Column Well</t>
    <phoneticPr fontId="2" type="noConversion"/>
  </si>
  <si>
    <t>스탠딩 칼럼 웰 지열 히트 펌프 시스템의 수치 시뮬레이션 I: 수치 모델 검증</t>
    <phoneticPr fontId="2" type="noConversion"/>
  </si>
  <si>
    <t>Numerical Simulation of Standing Column Well Ground Heat Pump System Part 1: Validation of the Numerical Model</t>
    <phoneticPr fontId="2" type="noConversion"/>
  </si>
  <si>
    <t>수정된 등가 선형법의 정확성 평가</t>
    <phoneticPr fontId="2" type="noConversion"/>
  </si>
  <si>
    <t>Evaluation of Accuracy of Modified Equivalent Linear Method</t>
    <phoneticPr fontId="2" type="noConversion"/>
  </si>
  <si>
    <t>대단면 터널에서 표준 지보 패턴의 평가: 수치 해석 및 현장 측정을 기반으로</t>
    <phoneticPr fontId="2" type="noConversion"/>
  </si>
  <si>
    <t>Evaluation of the Standard Support Pattern in Large Section Tunnel by Numerical Analysis and Field Measurement</t>
    <phoneticPr fontId="2" type="noConversion"/>
  </si>
  <si>
    <t>터널 공사에서 제어 발파 공법과 폭약의 진동 전파 특성에 대한 연구</t>
    <phoneticPr fontId="2" type="noConversion"/>
  </si>
  <si>
    <t>A study on the vibration propagation characteristics of controlled blasting methods and explosives in tunnelling</t>
    <phoneticPr fontId="2" type="noConversion"/>
  </si>
  <si>
    <t>목표 응답 스펙트럼에 맞춘 지반 운동 수정용 임펄스 함수 기반 알고리즘의 적용 가능성 평가</t>
    <phoneticPr fontId="2" type="noConversion"/>
  </si>
  <si>
    <t>Evaluation of applicability of impulse function-based algorithm for modification of ground motion to match target response spectrum</t>
    <phoneticPr fontId="2" type="noConversion"/>
  </si>
  <si>
    <t>간극 수압 모델 기반 응력 개발</t>
    <phoneticPr fontId="2" type="noConversion"/>
  </si>
  <si>
    <t>Development of Stress Based on Pore Pressure Model</t>
    <phoneticPr fontId="2" type="noConversion"/>
  </si>
  <si>
    <t>점토질 사질토의 투수성과 압밀 특성</t>
    <phoneticPr fontId="2" type="noConversion"/>
  </si>
  <si>
    <t>Permeability and consolidation characteristics of clayey sand soils</t>
    <phoneticPr fontId="2" type="noConversion"/>
  </si>
  <si>
    <t>운영 중인 도로 터널의 내진 성능 평가</t>
    <phoneticPr fontId="2" type="noConversion"/>
  </si>
  <si>
    <t>Evaluation of seismic performance of road tunnels in operation</t>
    <phoneticPr fontId="2" type="noConversion"/>
  </si>
  <si>
    <t>산사면의 증폭 특성</t>
    <phoneticPr fontId="2" type="noConversion"/>
  </si>
  <si>
    <t>Amplification characteristics of mountain slopes</t>
    <phoneticPr fontId="2" type="noConversion"/>
  </si>
  <si>
    <t>한국방재학회</t>
    <phoneticPr fontId="2" type="noConversion"/>
  </si>
  <si>
    <t>Journal of the Korean Society of Hazard Mitigation</t>
  </si>
  <si>
    <t>Evaluation of the Influence of the Method of Sample Preparation on the Shearing Behavior of Sands using Elastic Waves</t>
    <phoneticPr fontId="2" type="noConversion"/>
  </si>
  <si>
    <t>A study on the development of the seismic fragility functions of the high speed railway tunnels in use</t>
    <phoneticPr fontId="2" type="noConversion"/>
  </si>
  <si>
    <t>Seismic amplification characteristics of Eastern Siberia</t>
    <phoneticPr fontId="2" type="noConversion"/>
  </si>
  <si>
    <t>Evaluation of Effect of Rock Joints on Seismic Response of Tunnels</t>
    <phoneticPr fontId="2" type="noConversion"/>
  </si>
  <si>
    <t>Generation of blast load time series under tunnelling</t>
    <phoneticPr fontId="2" type="noConversion"/>
  </si>
  <si>
    <t>https://doi.org/10.7843/kgs.2015.31.4.45</t>
  </si>
  <si>
    <t>Journal</t>
  </si>
  <si>
    <t>45~55</t>
  </si>
  <si>
    <t>김낙영</t>
  </si>
  <si>
    <t>류재하</t>
  </si>
  <si>
    <t>안재광</t>
  </si>
  <si>
    <t>손무락</t>
  </si>
  <si>
    <t>황영철</t>
  </si>
  <si>
    <t>Development of Permanent Displacement Model for Seismic Mountain Slope</t>
  </si>
  <si>
    <t>http://dx.doi.org/10.7843/kgs.2015.31.4.57</t>
  </si>
  <si>
    <t>57~66</t>
  </si>
  <si>
    <t>이종후</t>
  </si>
  <si>
    <t>박인준</t>
  </si>
  <si>
    <t>http://dx.doi.org/10.7843/kgs.2015.31.9.17</t>
  </si>
  <si>
    <t>19~27</t>
  </si>
  <si>
    <t>유진권</t>
  </si>
  <si>
    <t>Effect of Incident Direction of Earthquake Motion on Seismic Response of Buried Pipelien</t>
  </si>
  <si>
    <t>https://doi.org/10.14481/jkges.2015.16.9.43</t>
  </si>
  <si>
    <t>43~51</t>
  </si>
  <si>
    <t>곽형주</t>
  </si>
  <si>
    <t>이장근</t>
  </si>
  <si>
    <t>강재모</t>
  </si>
  <si>
    <t>비탄성 지진 해석을 통한 박스 터널의 손상 상태 및 손상 지수 규명</t>
  </si>
  <si>
    <t>https://doi.org/10.9711/KTAJ.2016.18.2.119</t>
  </si>
  <si>
    <t>119~128</t>
  </si>
  <si>
    <t>이태형</t>
  </si>
  <si>
    <t>김한섭</t>
  </si>
  <si>
    <t>박정선</t>
  </si>
  <si>
    <t>반복단순전단시험에 기반한 조립토의 설계 액상화 저항 곡선 개발</t>
  </si>
  <si>
    <t>Cyclic Simple Shear Test Based Design Liquefaction Resistance Curve of Granular Soil</t>
  </si>
  <si>
    <t>http://dx.doi.org/10.7843/kgs.2016.32.6.49</t>
  </si>
  <si>
    <t>49~59</t>
  </si>
  <si>
    <t>사이둘라</t>
  </si>
  <si>
    <t>박기천</t>
  </si>
  <si>
    <t>유한요소해석을 통한 다층지반에서의 버킷기초 수직지지력 산정</t>
  </si>
  <si>
    <t>Evaluation of Vertical Bearing Capacity of Bucket Foundations in Layered Soil by Using Finite Element Analysis</t>
  </si>
  <si>
    <t>http://dx.doi.org/10.7843/kgs.2016.32.7.35</t>
  </si>
  <si>
    <t>35~45</t>
  </si>
  <si>
    <t>윤세웅</t>
  </si>
  <si>
    <t>모래와 점토 단일지반에서의 스퍼드캔 관입/추출 거동 평가</t>
  </si>
  <si>
    <t>Evaluation of Spudcan Penetration/Extraction Behavior in Uniform Sand and Clay</t>
  </si>
  <si>
    <t>https://doi.org/10.7843/kgs.2017.33.3.17</t>
  </si>
  <si>
    <t>17~28</t>
  </si>
  <si>
    <t>하수관로 건전도와 도로함몰 발생 상관관계 분석</t>
  </si>
  <si>
    <t>Correlation Analysis of Sewer Integrity and Ground Subsidence</t>
  </si>
  <si>
    <t>https://doi.org/10.14481/jkges.2017.18.6.31</t>
  </si>
  <si>
    <t>31~37</t>
  </si>
  <si>
    <t>김진영</t>
  </si>
  <si>
    <t>최창호</t>
  </si>
  <si>
    <t>사질토 지반에 설치된 버킷기초의 강성</t>
  </si>
  <si>
    <t>Stiffness of Bucket Foundation in Sand</t>
  </si>
  <si>
    <t>https://doi.org/10.14481/jkges.2017.18.8.5</t>
  </si>
  <si>
    <t>5~15</t>
  </si>
  <si>
    <t>장화섭</t>
  </si>
  <si>
    <t>윤지남</t>
  </si>
  <si>
    <t>https://doi.org/10.14481/jkges.2017.18.11.27</t>
  </si>
  <si>
    <t>27~33</t>
  </si>
  <si>
    <t>샴셰르사디크</t>
  </si>
  <si>
    <t>김주형</t>
  </si>
  <si>
    <t>https://doi.org/10.9711/KTAJ.2017.19.6.959</t>
  </si>
  <si>
    <t>959~972</t>
  </si>
  <si>
    <t>지하층-지반 운동학적 상호작용을 고려한 기초저면의 설계지반운동 산정</t>
  </si>
  <si>
    <t>Extracting Foundation Input Motion Considering Soil-Subterranean Level Kinematic Interaction</t>
  </si>
  <si>
    <t>https://doi.org/10.14481/jkges.2018.19.11.31</t>
  </si>
  <si>
    <t>박스형 터널의 지진 취약도 평가</t>
  </si>
  <si>
    <t>Seismic Fragility Evaluation of Cut-and-cover Tunnel</t>
  </si>
  <si>
    <t>https://doi.org/10.7843/kgs.2018.34.11.71</t>
  </si>
  <si>
    <t>71~80</t>
  </si>
  <si>
    <t>듀이-두안 응</t>
  </si>
  <si>
    <t>응엔반캉</t>
  </si>
  <si>
    <t>지진 시 필댐의 침하량과 지반진동 변수 간의 상관관계 분석</t>
  </si>
  <si>
    <t xml:space="preserve"> Evaluation of Correlation between Earthquake Induced Settlement of Fill Dams and Ground Motion Parameters</t>
  </si>
  <si>
    <t>한국지반신소재학회 논문집</t>
  </si>
  <si>
    <t>Journal of the Korean Geosynthetics Society</t>
  </si>
  <si>
    <t>https://doi.org/10.12814/jkgss.2018.17.4.065</t>
  </si>
  <si>
    <t>65~72</t>
  </si>
  <si>
    <t>백종민</t>
  </si>
  <si>
    <t>최병한</t>
  </si>
  <si>
    <t>콘크리트 표면차수벽형 석괴댐의 지진 취약도 평가</t>
  </si>
  <si>
    <t>Evaluation of Seismic Fragility of Concrete Faced Rockfill Dam</t>
  </si>
  <si>
    <t>https://doi.org/10.12814/jkgss.2018.17.4.103</t>
  </si>
  <si>
    <t>103~108</t>
  </si>
  <si>
    <t>지진 시 파괴면을 고려한 중력식 안벽의 영구변위 평가</t>
  </si>
  <si>
    <t>Estimation of Permanent Displacement of Gravity Quay Wall Considering Failure Surface under Seismic Loading</t>
  </si>
  <si>
    <t>https://doi.org/10.7843/kgs.2019.35.4.15</t>
  </si>
  <si>
    <t>15~26</t>
  </si>
  <si>
    <t>한인숙</t>
  </si>
  <si>
    <t>권오순</t>
  </si>
  <si>
    <t>콘크리트 옹벽의 지진여유도 평가</t>
  </si>
  <si>
    <t>Seismic Margin Assessment of Concrete Retaining Walls</t>
  </si>
  <si>
    <t>https://doi.org/10.14481/jkges.2019.20.7.5</t>
  </si>
  <si>
    <t>5~10</t>
  </si>
  <si>
    <t>황경민</t>
  </si>
  <si>
    <t>장정범</t>
  </si>
  <si>
    <t>https://doi.org/10.14481/jkges.2019.20.9.13</t>
  </si>
  <si>
    <t>13~19</t>
  </si>
  <si>
    <t>https://doi.org/10.7843/kgs.2020.36.10.57</t>
  </si>
  <si>
    <t>57~71</t>
  </si>
  <si>
    <t>김연준</t>
  </si>
  <si>
    <t>고길완</t>
  </si>
  <si>
    <t>김병민</t>
  </si>
  <si>
    <t>김기석</t>
  </si>
  <si>
    <t>한진태</t>
  </si>
  <si>
    <t>김동수</t>
  </si>
  <si>
    <t>https://doi.org/10.14481/jkges.2020.21.12.29</t>
  </si>
  <si>
    <t>29~34</t>
  </si>
  <si>
    <t>도종남</t>
  </si>
  <si>
    <t>김명일</t>
  </si>
  <si>
    <t>https://doi.org/10.7843/kgs.2020.36.12.77</t>
  </si>
  <si>
    <t>77~86</t>
  </si>
  <si>
    <t>아킵</t>
  </si>
  <si>
    <t>빌랄</t>
  </si>
  <si>
    <t>주바이르</t>
  </si>
  <si>
    <t>https://doi.org/10.14481/jkges.2021.22.1.13</t>
  </si>
  <si>
    <t>13~20</t>
  </si>
  <si>
    <t>아사드잔</t>
  </si>
  <si>
    <t>Journal of the Korean Geotechnical Society</t>
    <phoneticPr fontId="2" type="noConversion"/>
  </si>
  <si>
    <t>비SCI</t>
  </si>
  <si>
    <t>2288-646X</t>
  </si>
  <si>
    <t>2287-4747</t>
  </si>
  <si>
    <t>2287-9528</t>
  </si>
  <si>
    <t>Journal of the Korean Society of Hazard Mitigation</t>
    <phoneticPr fontId="2" type="noConversion"/>
  </si>
  <si>
    <t>1738-2424</t>
    <phoneticPr fontId="2" type="noConversion"/>
  </si>
  <si>
    <t>2287-6723</t>
    <phoneticPr fontId="2" type="noConversion"/>
  </si>
  <si>
    <t>Evaluation of the Behavioral Characteristics of Soil Nail Using High-strength Steel Pipe through Field Test</t>
    <phoneticPr fontId="2" type="noConversion"/>
  </si>
  <si>
    <t>Dynamic Factor of Safety Calculation of Slope by Nonlinear Response History Analysis</t>
    <phoneticPr fontId="2" type="noConversion"/>
  </si>
  <si>
    <t>Seismic fragility evaluation of inverted T-type wall with a backfill slope considering site conditions</t>
    <phoneticPr fontId="2" type="noConversion"/>
  </si>
  <si>
    <t>대한토목학회</t>
  </si>
  <si>
    <t>Study on Asymmetric Settlement Trough induced by the 2nd Tunneling of Twin Shield Tunnels in Clay</t>
    <phoneticPr fontId="2" type="noConversion"/>
  </si>
  <si>
    <t>Case study on design and construction for cross-connection tunnel using large steel pipe thrust method in soil twin shield tunnels underneath airport</t>
    <phoneticPr fontId="2" type="noConversion"/>
  </si>
  <si>
    <t>Stability evaluation of existing subway structure by adjacent excavation in urban tunnelling</t>
    <phoneticPr fontId="2" type="noConversion"/>
  </si>
  <si>
    <t>Investigation of effect of input ground motion on the failure surface of mountain slopes</t>
    <phoneticPr fontId="2" type="noConversion"/>
  </si>
  <si>
    <t>Development of Modified Flexibility Ratio-Racking Ratio Relationship of Box Tunnels Subjected to Earthquake Loading Considering Rocking</t>
    <phoneticPr fontId="2" type="noConversion"/>
  </si>
  <si>
    <t>Seismic performance evaluation of existing road tunnels based on revised seismic design code</t>
    <phoneticPr fontId="2" type="noConversion"/>
  </si>
  <si>
    <t>Predicting Single-hole Blast-induced Fracture Zone Using Finite Element Analysis</t>
    <phoneticPr fontId="2" type="noConversion"/>
  </si>
  <si>
    <t>Parametric Study on Seismic Earth Pressure Through Dynamic Numerical Analyses of Basements</t>
    <phoneticPr fontId="2" type="noConversion"/>
  </si>
  <si>
    <t>Soil damping formulation in nonlinear time domain site response analysis</t>
    <phoneticPr fontId="2" type="noConversion"/>
  </si>
  <si>
    <t>Journal of earthquake engineering</t>
    <phoneticPr fontId="2" type="noConversion"/>
  </si>
  <si>
    <t>Effect of limestone filler on the deterioration of mortars and pastes exposed to sulfate solutions at ambient temperature</t>
    <phoneticPr fontId="2" type="noConversion"/>
  </si>
  <si>
    <t>Cement and concrete research</t>
    <phoneticPr fontId="2" type="noConversion"/>
  </si>
  <si>
    <t>Rate-dependent soil behavior in seismic site response analysis</t>
    <phoneticPr fontId="2" type="noConversion"/>
  </si>
  <si>
    <t>Canadian Geotechnical Journal</t>
    <phoneticPr fontId="2" type="noConversion"/>
  </si>
  <si>
    <t>Soil-column depth-dependent seismic site coefficients and hazard maps for the upper Mississippi Embayment</t>
    <phoneticPr fontId="2" type="noConversion"/>
  </si>
  <si>
    <t>Bulletin of the Seismological Society of America</t>
    <phoneticPr fontId="2" type="noConversion"/>
  </si>
  <si>
    <t>Development of generalised formula for dynamic active earth pressure</t>
    <phoneticPr fontId="2" type="noConversion"/>
  </si>
  <si>
    <t>Evaluation of liquefaction potential of port structures with earthquake magnitude adjustment</t>
    <phoneticPr fontId="2" type="noConversion"/>
  </si>
  <si>
    <t>Flexural rigidity and ductility of high-strength reinforced polyester polymer concrete beams</t>
    <phoneticPr fontId="2" type="noConversion"/>
  </si>
  <si>
    <t>Advances in cement research</t>
    <phoneticPr fontId="2" type="noConversion"/>
  </si>
  <si>
    <t>Experimental and numerical analysis of an opening in a jointed rock mass under biaxial compression</t>
    <phoneticPr fontId="2" type="noConversion"/>
  </si>
  <si>
    <t>Computational coupled method for multiscale and phase analysis</t>
    <phoneticPr fontId="2" type="noConversion"/>
  </si>
  <si>
    <t>Journal of engineering materials and technology</t>
    <phoneticPr fontId="2" type="noConversion"/>
  </si>
  <si>
    <t>Pore pressure model based on accumulated stress</t>
    <phoneticPr fontId="2" type="noConversion"/>
  </si>
  <si>
    <t>Bulletin of Earthquake Engineering</t>
    <phoneticPr fontId="2" type="noConversion"/>
  </si>
  <si>
    <t>Prediction of seismic displacement of dry mountain slopes composed of a soft thin uniform layer</t>
    <phoneticPr fontId="2" type="noConversion"/>
  </si>
  <si>
    <t>Soil Dynamics and Earthquake Engineering</t>
    <phoneticPr fontId="2" type="noConversion"/>
  </si>
  <si>
    <t>A Site-Specific Response Analysis: A Case Study in Hanoi, Vietnam</t>
    <phoneticPr fontId="2" type="noConversion"/>
  </si>
  <si>
    <t>Damage analysis of cut-and-cover tunnel structures under seismic loading</t>
    <phoneticPr fontId="2" type="noConversion"/>
  </si>
  <si>
    <t>Effect of freezing saturated sandy soil under undrained condition on a buried steel pipe</t>
    <phoneticPr fontId="2" type="noConversion"/>
  </si>
  <si>
    <t>International Journal of Control and Automation</t>
    <phoneticPr fontId="2" type="noConversion"/>
  </si>
  <si>
    <t>Vertical bearing capacity of bucket foundations in sand</t>
    <phoneticPr fontId="2" type="noConversion"/>
  </si>
  <si>
    <t>Ocean Engineering</t>
    <phoneticPr fontId="2" type="noConversion"/>
  </si>
  <si>
    <t>Development of normalized liquefaction resistance curve for clean sands</t>
    <phoneticPr fontId="2" type="noConversion"/>
  </si>
  <si>
    <t>Bulletin of earthquake engineering</t>
    <phoneticPr fontId="2" type="noConversion"/>
  </si>
  <si>
    <t>Vertical bearing capacity of bucket foundation in sand overlying clay</t>
    <phoneticPr fontId="2" type="noConversion"/>
  </si>
  <si>
    <t>Detection of cavities around concrete sewage pipelines using impact-echo method</t>
    <phoneticPr fontId="2" type="noConversion"/>
  </si>
  <si>
    <t>Tunnelling and Underground Space Technology</t>
    <phoneticPr fontId="2" type="noConversion"/>
  </si>
  <si>
    <t>Bulletin of the Seismological Society of America</t>
    <phoneticPr fontId="2" type="noConversion"/>
  </si>
  <si>
    <t>Prediction of near-field wave attenuation due to a spherical blast source</t>
    <phoneticPr fontId="2" type="noConversion"/>
  </si>
  <si>
    <t>Rock Mechanics and Rock Engineering</t>
    <phoneticPr fontId="2" type="noConversion"/>
  </si>
  <si>
    <t>Estimation of drained shear strength of granular soil from shear wave velocity and confining stress</t>
    <phoneticPr fontId="2" type="noConversion"/>
  </si>
  <si>
    <t>Journal of Geotechnical and Geoenvironmental Engineering</t>
    <phoneticPr fontId="2" type="noConversion"/>
  </si>
  <si>
    <r>
      <t>Effect of Flexibility Ratio on Seismic Response of Cut</t>
    </r>
    <r>
      <rPr>
        <sz val="11"/>
        <color theme="1"/>
        <rFont val="MS Gothic"/>
        <family val="3"/>
        <charset val="128"/>
      </rPr>
      <t>‐</t>
    </r>
    <r>
      <rPr>
        <sz val="11"/>
        <color theme="1"/>
        <rFont val="Malgun Gothic"/>
        <family val="3"/>
        <charset val="129"/>
      </rPr>
      <t>and</t>
    </r>
    <r>
      <rPr>
        <sz val="11"/>
        <color theme="1"/>
        <rFont val="MS Gothic"/>
        <family val="3"/>
        <charset val="128"/>
      </rPr>
      <t>‐</t>
    </r>
    <r>
      <rPr>
        <sz val="11"/>
        <color theme="1"/>
        <rFont val="Malgun Gothic"/>
        <family val="3"/>
        <charset val="129"/>
      </rPr>
      <t>Cover Box Tunnel</t>
    </r>
    <phoneticPr fontId="2" type="noConversion"/>
  </si>
  <si>
    <t>Advances in Civil Engineering</t>
    <phoneticPr fontId="2" type="noConversion"/>
  </si>
  <si>
    <t>Seismic vulnerability assessment of rectangular cut-and-cover subway tunnels</t>
    <phoneticPr fontId="2" type="noConversion"/>
  </si>
  <si>
    <t>Seismic damage analysis of box metro tunnels accounting for aspect ratio and shear failure</t>
    <phoneticPr fontId="2" type="noConversion"/>
  </si>
  <si>
    <t>Multi-platform soil-structure interaction simulation of Daikai subway tunnel during the 1995 Kobe earthquake</t>
    <phoneticPr fontId="2" type="noConversion"/>
  </si>
  <si>
    <t>Estimation of seismically-induced crest settlement of earth core rockfill dams</t>
    <phoneticPr fontId="2" type="noConversion"/>
  </si>
  <si>
    <t>CONSTRUCTION &amp; BUILDING TECHNOLOGY</t>
  </si>
  <si>
    <t>CONSTRUCTION &amp; BUILDING TECHNOLOGY</t>
    <phoneticPr fontId="2" type="noConversion"/>
  </si>
  <si>
    <t>0951-7197</t>
    <phoneticPr fontId="2" type="noConversion"/>
  </si>
  <si>
    <t>1751-7605</t>
    <phoneticPr fontId="2" type="noConversion"/>
  </si>
  <si>
    <t>0008-8846</t>
    <phoneticPr fontId="2" type="noConversion"/>
  </si>
  <si>
    <t>1873-3948</t>
    <phoneticPr fontId="2" type="noConversion"/>
  </si>
  <si>
    <t>0094-4289</t>
    <phoneticPr fontId="2" type="noConversion"/>
  </si>
  <si>
    <t>1528-8889</t>
    <phoneticPr fontId="2" type="noConversion"/>
  </si>
  <si>
    <t>Engineering, Mechanical</t>
  </si>
  <si>
    <t>0723-2632</t>
    <phoneticPr fontId="2" type="noConversion"/>
  </si>
  <si>
    <t>1090-0241</t>
    <phoneticPr fontId="2" type="noConversion"/>
  </si>
  <si>
    <t>1943-5606</t>
    <phoneticPr fontId="2" type="noConversion"/>
  </si>
  <si>
    <t>2076-3417</t>
    <phoneticPr fontId="2" type="noConversion"/>
  </si>
  <si>
    <t>1226-7988</t>
    <phoneticPr fontId="2" type="noConversion"/>
  </si>
  <si>
    <t>0141-0296</t>
    <phoneticPr fontId="2" type="noConversion"/>
  </si>
  <si>
    <t>2005-307X</t>
    <phoneticPr fontId="2" type="noConversion"/>
  </si>
  <si>
    <t>0264-4401</t>
    <phoneticPr fontId="2" type="noConversion"/>
  </si>
  <si>
    <t>1229-2427</t>
    <phoneticPr fontId="2" type="noConversion"/>
  </si>
  <si>
    <t>Journal of the Korean Geoenvironmental Society</t>
    <phoneticPr fontId="2" type="noConversion"/>
  </si>
  <si>
    <t>1598-0820</t>
    <phoneticPr fontId="2" type="noConversion"/>
  </si>
  <si>
    <t>Journal of Korean Tunnelling and Underground Space Association</t>
    <phoneticPr fontId="2" type="noConversion"/>
  </si>
  <si>
    <t>2233-8292</t>
    <phoneticPr fontId="2" type="noConversion"/>
  </si>
  <si>
    <t>Journal of the Korean Geosynthetics Society</t>
    <phoneticPr fontId="2" type="noConversion"/>
  </si>
  <si>
    <t>2508-2876</t>
    <phoneticPr fontId="2" type="noConversion"/>
  </si>
  <si>
    <t>1687-8086</t>
    <phoneticPr fontId="2" type="noConversion"/>
  </si>
  <si>
    <t>Deformation characteristics of tunnel bottom after construction under geological conditions of long-term deformation</t>
    <phoneticPr fontId="2" type="noConversion"/>
  </si>
  <si>
    <t>Geomechanics and Engineering</t>
    <phoneticPr fontId="2" type="noConversion"/>
  </si>
  <si>
    <t>Seismic response of circular tunnels in jointed rock</t>
    <phoneticPr fontId="2" type="noConversion"/>
  </si>
  <si>
    <t>Scopus 등재 여부</t>
    <phoneticPr fontId="2" type="noConversion"/>
  </si>
  <si>
    <t>International Journal of Geo-Engineering</t>
  </si>
  <si>
    <t>논문제목</t>
    <phoneticPr fontId="2" type="noConversion"/>
  </si>
  <si>
    <t>Numerical generation of ground motion coherency function from finite element simulations</t>
    <phoneticPr fontId="11" type="noConversion"/>
  </si>
  <si>
    <t>8th World Conference on Earthquake Engineering</t>
    <phoneticPr fontId="11" type="noConversion"/>
  </si>
  <si>
    <t>Recent advances in the seismic performance and fragility evaluation of Double-Box tunnels</t>
    <phoneticPr fontId="11" type="noConversion"/>
  </si>
  <si>
    <t>Estimation of Newmark displacement of homogeneous soil slopes from static factor of safety and ground motion parameters</t>
    <phoneticPr fontId="11" type="noConversion"/>
  </si>
  <si>
    <t>The 8th International Conference on Earthquake Geotechnical Engineering, Osaka, Japan</t>
    <phoneticPr fontId="11" type="noConversion"/>
  </si>
  <si>
    <t>Seismic ground motion incoherency evaluation and numerical simulation based on spatial variability of rock site</t>
    <phoneticPr fontId="11" type="noConversion"/>
  </si>
  <si>
    <t>Machine learning based site amplification prediction models for shallow bedrock sites</t>
    <phoneticPr fontId="11" type="noConversion"/>
  </si>
  <si>
    <t>Deep neural network based approach for site amplification prediction of shallow bedrock sites</t>
    <phoneticPr fontId="11" type="noConversion"/>
  </si>
  <si>
    <t>17th Asian Regional Conference on Soil Mechanics and Geotechnical Engineering, Astana, Kazakhstan</t>
    <phoneticPr fontId="11" type="noConversion"/>
  </si>
  <si>
    <t>Prediction of site amplification of shallow bedrock sites using deep neural network model</t>
    <phoneticPr fontId="11" type="noConversion"/>
  </si>
  <si>
    <t>The 4th International Conference on Performance-based Design in Earthquake Geotechnical Engineering, Beijing, China</t>
    <phoneticPr fontId="11" type="noConversion"/>
  </si>
  <si>
    <t>Simulation of damage evolution of cut-and-cover tunnels with 3D nonlinear finite element analysis</t>
    <phoneticPr fontId="11" type="noConversion"/>
  </si>
  <si>
    <t>The 20th International Conference on Soil Mechanics and Geotechnical Engineering, Sydney, Australia</t>
    <phoneticPr fontId="11" type="noConversion"/>
  </si>
  <si>
    <t>Prediction of seismically induced acceleration and settlement of slopes</t>
    <phoneticPr fontId="11" type="noConversion"/>
  </si>
  <si>
    <t>Development of fragility curves for underground box tunnels from nonlinear frame analysis</t>
    <phoneticPr fontId="11" type="noConversion"/>
  </si>
  <si>
    <t>The 7th International Conference on Earthquake Geotechnical Engineering, Roma, Italy</t>
    <phoneticPr fontId="11" type="noConversion"/>
  </si>
  <si>
    <t>Seismic interaction of tall building and underground level</t>
    <phoneticPr fontId="11" type="noConversion"/>
  </si>
  <si>
    <t>16th Asian Regional Conference on Soil Mechanics and Geotechnical Engineering, Taipei, Taiwan</t>
    <phoneticPr fontId="11" type="noConversion"/>
  </si>
  <si>
    <t>Development of a United States Community Shear Wave Velocity Profile Database</t>
  </si>
  <si>
    <t>Geotechnical Special Publication (2018) 2018-June(GSP 291)</t>
  </si>
  <si>
    <t>Importance of implied strength correction for 1D site response at shallow sites at a moderate to low seismicity region</t>
  </si>
  <si>
    <t>CRR versus N curve for liquefaction assessment of clean sands</t>
  </si>
  <si>
    <t>The 3rd Performance Based Design in Earthquake Geotechnical Engineering, Vancouver, Canada</t>
  </si>
  <si>
    <t>Capacity of bucket foundation on sand over clay layers</t>
  </si>
  <si>
    <t>The 19th International Conference on Soil Mechanics and Geotechnical Engineering, Seoul, Korea</t>
  </si>
  <si>
    <t>Seismic site response of shallow sites in moderate seismicity regions</t>
  </si>
  <si>
    <t>Investigation of mechanism of ground sinking through 3-D GPR surveys and laboratory model tests</t>
  </si>
  <si>
    <t>Estimation of damping ratio of rock mass for numerical simulation of blast induced vibration propagation</t>
  </si>
  <si>
    <t>The 15th Asian Regional Conference on Soil Mechanics and Geotechnical Engineering, Fukuoka, Japan</t>
  </si>
  <si>
    <t>Collapse mechanism of cut-and-cover tunnels under seismic loading</t>
  </si>
  <si>
    <t>Damage stated of cut-and-cover tunnels under seismic excitation</t>
  </si>
  <si>
    <t>The 6th International Conference on Earthquake Geotechnical Engineering, Christchurch, New Zealand</t>
  </si>
  <si>
    <t>Numerical modeling of skirted foundation in alternating layers of sand and clay</t>
  </si>
  <si>
    <t>The 25th International Offshore and Polar Engineering Conference, Big Island, Hawaii, USA</t>
  </si>
  <si>
    <t>Seismic displacement on mountain slopes</t>
  </si>
  <si>
    <t>The 5th Asia Conference on Earthquake Engineering, Taipei, Taiwan</t>
  </si>
  <si>
    <t>Effect of spatial variability of shear wave velocity on seismic response of soil deposits</t>
  </si>
  <si>
    <t>Effect of Relative Density of Sand on the Penetration Characteristics of Suction Pile</t>
  </si>
  <si>
    <t>The 24th International Offshore and Polar Engineering Conference, Busan, Korea</t>
  </si>
  <si>
    <t>Influence of Rock Joints on Seismic Response of Tunnels</t>
  </si>
  <si>
    <t>World Tunnel Congress 2012, Bangkok, Thailand</t>
  </si>
  <si>
    <t>Probabilistic Seismic Site Coefficients of Korea</t>
  </si>
  <si>
    <t>14th Asian Regional Conference on Soil Mechanics and Geotechnical Engineering, Hong Kong, China</t>
  </si>
  <si>
    <t>Numerical Simulation of Standing Column Well Geothermal Heat Pump</t>
  </si>
  <si>
    <t>Soil Response in Frequency Dependent Equivalent Linear Analysis</t>
  </si>
  <si>
    <t>21st International Offshore and Polar Engineering Conference, Maui, Hawaii, USA</t>
  </si>
  <si>
    <t>Parametric Study for Evaluation of Design Parameters of Standing Column Well</t>
  </si>
  <si>
    <t>World Geothermal Congress, Bali, Indonesia</t>
  </si>
  <si>
    <t>Numerical Simulation of Standing Column Well</t>
  </si>
  <si>
    <t>Rate and Frequency-Dependent Equivalent Linear Site Response Analysis Algorithms</t>
    <phoneticPr fontId="2" type="noConversion"/>
  </si>
  <si>
    <t>2nd Japan-Korea Geotechnical Workshop, Tokyo, Japan</t>
  </si>
  <si>
    <t>Evaluation of dispersion of calculated seismic site responses through Round Robin Test in Korea</t>
  </si>
  <si>
    <t>The 17th International Conference on Soil Mechanics and Geotechnical Engineering, Alexandria, Egypt</t>
  </si>
  <si>
    <t>Development of novel method of seismic slope stability analysis</t>
  </si>
  <si>
    <t>The 1st Korea-Japan Joint Symposium for Slope Failure Disaster Mitigation, Seoul, Korea</t>
  </si>
  <si>
    <t>Comparison of Frequency Dependent Equivalent Linear Analysis Methods</t>
  </si>
  <si>
    <t>14th World Conference on Earthquake Engineering, Beijing, China</t>
  </si>
  <si>
    <t>Simulation of rate dependent soil behavior in one-dimensional seismic wave propagation</t>
  </si>
  <si>
    <t>15th International Congress on Sound and Vibration, Daejeon, Korea</t>
  </si>
  <si>
    <t>Influence of rate dependent soil behavior on propagated ground motion</t>
  </si>
  <si>
    <t>Geotechnical Earthquake Engineering and Soil Dynamics IV, Sacramento, California</t>
  </si>
  <si>
    <t>Tunnel response under spatially varying ground motion</t>
  </si>
  <si>
    <t>Nonlinear site response analysis in deep soft clay deposits in Korea</t>
  </si>
  <si>
    <t>13th Asian Regional Conference on Soil Mechanics and Geotechnical Engineering, Kolkata, India</t>
  </si>
  <si>
    <t>Generation of spatially variable ground motions for seismic analysis of undersea tunnel</t>
    <phoneticPr fontId="2" type="noConversion"/>
  </si>
  <si>
    <t>Chinese Journal of Rock Mechanics and Engineering</t>
  </si>
  <si>
    <t>Generation of spatially variable ground motions for seismic analysis of undersea tunnel</t>
  </si>
  <si>
    <t>13th World Conference on Earthquake Engineering, Vancouver</t>
  </si>
  <si>
    <t>Development of a New Equivalent Linear Algorithm with Rate Dependent Soil Model</t>
  </si>
  <si>
    <t>17th International Offshore and Polar Engineering Conference, Lisbon</t>
  </si>
  <si>
    <t>Seismic Site Effects for Weak Deposits in Korea</t>
  </si>
  <si>
    <t>Development of Representative Ground Motions for Seismic Analysis of Nuclear Plants in Korea</t>
  </si>
  <si>
    <t>19th International Conference on Structural Mechanics in Reactor Technology, Toronto, Ontario, Canada</t>
  </si>
  <si>
    <t>Probabilistic seismic hazard analysis with nonlinear site effects in the Mississippi Embayment</t>
  </si>
  <si>
    <t>Nonlinear seismic site response of deep deposits in West Tennessee</t>
  </si>
  <si>
    <t>4th Seismic Conference and Workshop on Bridges and Highways</t>
  </si>
  <si>
    <t>Estimation of small damping properties in the Mississippi Embayment</t>
  </si>
  <si>
    <t>11th International Conference on Soil Dynamics &amp; Earthquake Engineering &amp; 3rd International Conference on Earthquake Geotechnical Engineering, Berkeley, CA</t>
  </si>
  <si>
    <t>Seismic site response of deep soil deposits and relationship to response of longitudinal structures</t>
  </si>
  <si>
    <t>4th US-Japan-China Symposium on Lifeline Earthquake Engineering</t>
  </si>
  <si>
    <t>Site response analysis in the Mississippi Embayment</t>
    <phoneticPr fontId="2" type="noConversion"/>
  </si>
  <si>
    <t>US-Japan seminar on seismic disaster mitigation in urban area by geotechnical engineering</t>
  </si>
  <si>
    <t>Site response analysis of deep deposits</t>
  </si>
  <si>
    <t>7th National Conference on Earthquake Engineering</t>
  </si>
  <si>
    <t>Non-linear site response analysis for deep deposits in New Madrid Seismic Zone</t>
  </si>
  <si>
    <t>4th International Conference on Recent Advances in Geotechnical Earthquake Engineering and Soil Dynamics</t>
  </si>
  <si>
    <t>2092-9196</t>
    <phoneticPr fontId="2" type="noConversion"/>
  </si>
  <si>
    <t>2198-2783</t>
    <phoneticPr fontId="2" type="noConversion"/>
  </si>
  <si>
    <t>2005-4297</t>
    <phoneticPr fontId="2" type="noConversion"/>
  </si>
  <si>
    <t>2207-6387</t>
    <phoneticPr fontId="2" type="noConversion"/>
  </si>
  <si>
    <t>ㅇ</t>
    <phoneticPr fontId="2" type="noConversion"/>
  </si>
  <si>
    <t>Non-linear one-dimensional seismic ground motion propagation in the Mississippi embayment</t>
    <phoneticPr fontId="2" type="noConversion"/>
  </si>
  <si>
    <t>Viscous damping formulation and high frequency motion propagation in non-linear site response analysis</t>
    <phoneticPr fontId="2" type="noConversion"/>
  </si>
  <si>
    <t>Ovaling deformations of circular tunnels under seismic loading, an update on seismic design and analysis of underground structures</t>
    <phoneticPr fontId="2" type="noConversion"/>
  </si>
  <si>
    <t>Evaluation of seismic site factors in the Mississippi Embayment. I. Estimation of dynamic properties</t>
    <phoneticPr fontId="2" type="noConversion"/>
  </si>
  <si>
    <t>박두희</t>
    <phoneticPr fontId="2" type="noConversion"/>
  </si>
  <si>
    <t>Simulation of tunnel response under spatially varying ground motion</t>
    <phoneticPr fontId="2" type="noConversion"/>
  </si>
  <si>
    <t>Geotechnique</t>
    <phoneticPr fontId="2" type="noConversion"/>
  </si>
  <si>
    <t>Development of probabilistic seismic site coefficients of Korea</t>
    <phoneticPr fontId="2" type="noConversion"/>
  </si>
  <si>
    <t>Development of a loading platen containing a cylindrical roller bearing to reduce frictional constraint at the boundary</t>
    <phoneticPr fontId="2" type="noConversion"/>
  </si>
  <si>
    <t>Selection of the optimal frequencies of viscous damping formulation in nonlinear time-domain site response analysis</t>
    <phoneticPr fontId="2" type="noConversion"/>
  </si>
  <si>
    <t>Supplementing Vs30 with H/V Spectral Ratios for Predicting Site Effects</t>
    <phoneticPr fontId="2" type="noConversion"/>
  </si>
  <si>
    <t>2025.01.22</t>
    <phoneticPr fontId="2" type="noConversion"/>
  </si>
  <si>
    <t>Construction of double track subway tunnel in the alluvial soils with shallow overburden</t>
    <phoneticPr fontId="2" type="noConversion"/>
  </si>
  <si>
    <t>논문구분</t>
    <phoneticPr fontId="2" type="noConversion"/>
  </si>
  <si>
    <t>Simulation of Inundation at Imwon Port during 1983 Central East Sea Tsunami</t>
    <phoneticPr fontId="2" type="noConversion"/>
  </si>
  <si>
    <t>Journal of Coastal Research</t>
    <phoneticPr fontId="2" type="noConversion"/>
  </si>
  <si>
    <t>USGS hazard map compatible depth-dependent seismic site coefficients for the Upper Mississippi Embayment</t>
  </si>
  <si>
    <t>논문구분</t>
    <phoneticPr fontId="2" type="noConversion"/>
  </si>
  <si>
    <t>SCOPUS</t>
    <phoneticPr fontId="2" type="noConversion"/>
  </si>
  <si>
    <t>Estimation of Distribution Factor for Peak Penetration Resistance Prediction of Spudcan Foundations in Loose to Medium-Dense Sand Overlying Clay</t>
    <phoneticPr fontId="2" type="noConversion"/>
  </si>
  <si>
    <t>박두희</t>
    <phoneticPr fontId="2" type="noConversion"/>
  </si>
  <si>
    <t>Analysis of round robin test on seismic site response analysis</t>
  </si>
  <si>
    <t>박두희</t>
    <phoneticPr fontId="2" type="noConversion"/>
  </si>
  <si>
    <t>A Case Study on BIM Object-Based Earned Value and Process Management in Highway Construction</t>
    <phoneticPr fontId="2" type="noConversion"/>
  </si>
  <si>
    <t>"국내 내륙의 설계 지반 운동 결정을 위한 지반 증폭 계수 및 지반 분류 체계 제안" 논문에 관한 토의</t>
    <phoneticPr fontId="2" type="noConversion"/>
  </si>
  <si>
    <t>Development of equivalent linear algorithm procedure that accounts for the loading frequency dependent soil behavior</t>
    <phoneticPr fontId="2" type="noConversion"/>
  </si>
  <si>
    <t>한국지반공학회 논문집</t>
    <phoneticPr fontId="2" type="noConversion"/>
  </si>
  <si>
    <t>Journal of the Korean Geotechnical Society</t>
    <phoneticPr fontId="2" type="noConversion"/>
  </si>
  <si>
    <t>Effect of Loading Frequency Dependent Soil Behavior on Seismic Site Effects</t>
    <phoneticPr fontId="2" type="noConversion"/>
  </si>
  <si>
    <t>하중의 주파수에 의하여 지배받은 흙의 동적 거동이 부지증폭현상에 미치는 영향</t>
    <phoneticPr fontId="2" type="noConversion"/>
  </si>
  <si>
    <t>신 유사정적 사면안정해석 기법 개발</t>
  </si>
  <si>
    <t>Development of Novel Method of Seismic Slope Stability Analysis</t>
  </si>
  <si>
    <t>소형 FWD와 반복평판재하시험에서의 변형계수(Ev2)와의 상관관계 평가</t>
  </si>
  <si>
    <t>Evaluation  of  correlation  between  Strain  mudulus  (Ev2)  and  Deformation modulus  (ELFWD)  Using  Cyclic  Plate  loading  Test  and  LFWD</t>
    <phoneticPr fontId="2" type="noConversion"/>
  </si>
  <si>
    <t>한국토목섬유학회 논문집</t>
  </si>
  <si>
    <t>복합하중을 고려한 국내 서남해 지반에서의 Spudcan 설계</t>
  </si>
  <si>
    <t>Spudcan Design under Combined Load in Southwestern Sea of Korea</t>
    <phoneticPr fontId="2" type="noConversion"/>
  </si>
  <si>
    <t>Investigation of Spudcan Penetration Resistance in Layered Soil Deposits</t>
    <phoneticPr fontId="2" type="noConversion"/>
  </si>
  <si>
    <t>이축압축 조건에서 공동이 존재하는 유사 절리암반 모델의 파괴 거동</t>
    <phoneticPr fontId="2" type="noConversion"/>
  </si>
  <si>
    <t>Dynamic Earth Pressure on Embedded Structure</t>
    <phoneticPr fontId="2" type="noConversion"/>
  </si>
  <si>
    <t>국내 확률론적 지진계수 개발</t>
    <phoneticPr fontId="2" type="noConversion"/>
  </si>
  <si>
    <t>탄성파를 통한 시료성형방법에 따른 모래 전단거동특성 평가</t>
    <phoneticPr fontId="2" type="noConversion"/>
  </si>
  <si>
    <t>최소토피고 미확보 구간에 시공한 파형강판 암거의 변형 특성</t>
    <phoneticPr fontId="2" type="noConversion"/>
  </si>
  <si>
    <t>Deformation of Corrugated Steel Plate Culverts in the Areas with Minimum Depth</t>
    <phoneticPr fontId="2" type="noConversion"/>
  </si>
  <si>
    <t>벤더엘리먼트와 삼축시험을 통한 모래의 전단강도 및 포아송비 특성 규명</t>
    <phoneticPr fontId="2" type="noConversion"/>
  </si>
  <si>
    <t>Evaluation of Characteristics of Shear Strength and Poisso’s Ratio through Triaxial and Bender Element Tests</t>
    <phoneticPr fontId="2" type="noConversion"/>
  </si>
  <si>
    <t>동시베리아 지역의 지진 증폭 특성</t>
    <phoneticPr fontId="2" type="noConversion"/>
  </si>
  <si>
    <t>터널의 지진응답에 대한 암반 절리의 영향 평가</t>
    <phoneticPr fontId="2" type="noConversion"/>
  </si>
  <si>
    <t>사면의 기하학적 증폭특성을 고려한 지진시 산사태 예측기술개발 Ⅰ: 지진시 서울지역 산사면의 기하학적 증폭 특성 분석</t>
    <phoneticPr fontId="2" type="noConversion"/>
  </si>
  <si>
    <t>Development of Prediction Method Considering Geometrical Amplification Characteristics of Slope I : Analysis about Amplification Characteristics of Mountain Slopes in Seoul</t>
    <phoneticPr fontId="2" type="noConversion"/>
  </si>
  <si>
    <t>Development of Prediction Method Considering Geometrical Amplification Characteristics of Slope II: Construction of Landslide Hazard Map during Earthquakes in Seoul</t>
    <phoneticPr fontId="2" type="noConversion"/>
  </si>
  <si>
    <t>사면의 기하학적 증폭특성을 고려한 지진시 산사태 예측기술개발 II : 서울지역 지진시 산사태 재해도 작성</t>
    <phoneticPr fontId="2" type="noConversion"/>
  </si>
  <si>
    <t>기존 고속철도 터널의 지진취약도 함수 개발에 관한 연구</t>
    <phoneticPr fontId="2" type="noConversion"/>
  </si>
  <si>
    <t>Study on the Allowable Limit of Blasting-induced Vibration for Road Structures and Facilities</t>
    <phoneticPr fontId="2" type="noConversion"/>
  </si>
  <si>
    <t>도로구조물의 발파진동 허용기준에 관한 연구</t>
    <phoneticPr fontId="2" type="noConversion"/>
  </si>
  <si>
    <t>Estimation of Applicability of Empirical Design Procedure for Predicting Seismic Response of Buried Gas Pipelines through 3D Time-history Analysis</t>
    <phoneticPr fontId="2" type="noConversion"/>
  </si>
  <si>
    <t>3차원 시간이력해석을 통한 매설가스배관 종방향 지진응답 예측을 위한 경험적 설계법의 적용성 평가</t>
    <phoneticPr fontId="2" type="noConversion"/>
  </si>
  <si>
    <t>사질토 지반에 설치된 버킷기초의 수직 하중전이 특성</t>
    <phoneticPr fontId="2" type="noConversion"/>
  </si>
  <si>
    <t>Vertical Load Transfer Mechanism of Bucket Foundation in Sand</t>
    <phoneticPr fontId="2" type="noConversion"/>
  </si>
  <si>
    <t>사질토 지반에 설치된 버킷기초 및 얕은기초의 수직지지력 산정</t>
    <phoneticPr fontId="2" type="noConversion"/>
  </si>
  <si>
    <t>Evaluation of Vertical Bearing Capacity for Bucket and Shallow Foundations Installed in Sand</t>
    <phoneticPr fontId="2" type="noConversion"/>
  </si>
  <si>
    <t>시험발파 계측자료 분석을 통한 암석 발파진동 특성 분석</t>
    <phoneticPr fontId="2" type="noConversion"/>
  </si>
  <si>
    <t>Analysis on the Characteristics of Rock Blasting-induced Vibration Based on the Analysis of Test Blasting Measurement Data</t>
    <phoneticPr fontId="2" type="noConversion"/>
  </si>
  <si>
    <t>Estimation of Attenuation Relationship Compatible with Damping Ratio of Rock Mass from Numerical Simulation</t>
    <phoneticPr fontId="2" type="noConversion"/>
  </si>
  <si>
    <t>수치해석을 통한 진동감쇠식 맞춤형 암반의 감쇠비 산정</t>
    <phoneticPr fontId="2" type="noConversion"/>
  </si>
  <si>
    <t>지진 시 산사면의 영구변위 추정식 개발</t>
    <phoneticPr fontId="2" type="noConversion"/>
  </si>
  <si>
    <t>지진파 입사방향에 따른 매설관 종방향 응답특성 규명</t>
    <phoneticPr fontId="2" type="noConversion"/>
  </si>
  <si>
    <t>전단파 속도를 통한 모래의 전단강도 예측</t>
    <phoneticPr fontId="2" type="noConversion"/>
  </si>
  <si>
    <t>하수관거 배면 공동 탐지를 위한 충격반향법의 적용성 평가</t>
    <phoneticPr fontId="2" type="noConversion"/>
  </si>
  <si>
    <t>Assessment of Impact-echo Method for Cavity Detection in Dorsal Side of Sewer Pipe</t>
    <phoneticPr fontId="2" type="noConversion"/>
  </si>
  <si>
    <t>SPT와 CPT 지반조사결과에 기초한 포항지역 액상화 위험도 평가</t>
    <phoneticPr fontId="2" type="noConversion"/>
  </si>
  <si>
    <t>현장시험을 통한 고강도 강관을 이용한 쏘일네일의 거동특성 평가</t>
    <phoneticPr fontId="2" type="noConversion"/>
  </si>
  <si>
    <t>비선형 응답이력해석을 통한 사면의 동적 안전계수 계산</t>
    <phoneticPr fontId="2" type="noConversion"/>
  </si>
  <si>
    <t>사면 경사도가 있는 뒷채움토와 지반특성을 고려한 역T형 옹벽의 지진시 취약도 평가</t>
    <phoneticPr fontId="2" type="noConversion"/>
  </si>
  <si>
    <t>점토지반 병설쉴드터널에서 후행터널 굴착에 의한 비대칭 침하형상 연구</t>
    <phoneticPr fontId="2" type="noConversion"/>
  </si>
  <si>
    <t>공항하부 토사 병설 쉴드터널에서 대구경 강관추진에 의한 횡갱 설계/시공사례 연구</t>
    <phoneticPr fontId="2" type="noConversion"/>
  </si>
  <si>
    <t>도심지 터널 근접시공에 의한 기존 지하철 구조물 안정성 평가</t>
    <phoneticPr fontId="2" type="noConversion"/>
  </si>
  <si>
    <t>댐체 강화 RIM부 그라우팅을 위한 지반상태 기준 결정</t>
    <phoneticPr fontId="2" type="noConversion"/>
  </si>
  <si>
    <t>개정된 내진설계기준에 기반한 기존 도로 터널의 내진 성능 평가</t>
    <phoneticPr fontId="2" type="noConversion"/>
  </si>
  <si>
    <t>동적 수치해석을 통한 베이스먼트의 지진토압에 대한 매개변수 연구</t>
    <phoneticPr fontId="2" type="noConversion"/>
  </si>
  <si>
    <t>Spatially variable ground motion simulation</t>
    <phoneticPr fontId="2" type="noConversion"/>
  </si>
  <si>
    <t>하중의 주파수에 지배받는 흙의 동적거동을 고려하는 등가선형해석방법 개발</t>
    <phoneticPr fontId="2" type="noConversion"/>
  </si>
  <si>
    <t>공간적 변이성을 고려한 지진파 생성</t>
    <phoneticPr fontId="2" type="noConversion"/>
  </si>
  <si>
    <t>Round Robin Test 기법을 통한 다양한 지반응답해석 접근법 비교 연구</t>
    <phoneticPr fontId="2" type="noConversion"/>
  </si>
  <si>
    <t>지반응답해석 Round Robin Test 결과 종합적 분석 연구</t>
    <phoneticPr fontId="2" type="noConversion"/>
  </si>
  <si>
    <t>한국터널지하공간학회 논문집</t>
    <phoneticPr fontId="2" type="noConversion"/>
  </si>
  <si>
    <t>Identification of Damage States and Damage Indices of Single Box Tunnel from Inelastic Seismic Analysis</t>
    <phoneticPr fontId="2" type="noConversion"/>
  </si>
  <si>
    <t>주파수 의존성을 고려한 등가선형해석기법의 검증</t>
    <phoneticPr fontId="2" type="noConversion"/>
  </si>
  <si>
    <t>터널 굴착 발파하중 시간이력 생성</t>
    <phoneticPr fontId="2" type="noConversion"/>
  </si>
  <si>
    <t>Shear Strength Estimation of Clean Sands via Shear Wave Velocity</t>
    <phoneticPr fontId="2" type="noConversion"/>
  </si>
  <si>
    <t>Propagation Characteristics of Blast-induced Vibration to Fractured Zone</t>
    <phoneticPr fontId="2" type="noConversion"/>
  </si>
  <si>
    <t>Evaluation of Liquefaction Triggering for the Pohang Area Based on SPT and CPT Tests</t>
    <phoneticPr fontId="2" type="noConversion"/>
  </si>
  <si>
    <t>Analysis of Damage Cases of Reinforced Earth Retaining Walls for Expressways at the Time of Introduction 30 Years</t>
    <phoneticPr fontId="2" type="noConversion"/>
  </si>
  <si>
    <t>Evaluation of the Influence of Shear Strength Correction through a Comparative Study of Nonlinear Site Response Models</t>
    <phoneticPr fontId="2" type="noConversion"/>
  </si>
  <si>
    <t>Nonlinear Seismic Analysis of U-Shaped Cantilever Retaining Structures</t>
    <phoneticPr fontId="2" type="noConversion"/>
  </si>
  <si>
    <t>파쇄영역에 따른 발파진동 전파특성</t>
    <phoneticPr fontId="2" type="noConversion"/>
  </si>
  <si>
    <t>도입 30년 시점에서 고속도로 보강토옹벽의 손상사례 분석</t>
    <phoneticPr fontId="2" type="noConversion"/>
  </si>
  <si>
    <t>비선형 지반구성모델의 비교를 통한 전단강도 보정이 부지응답해석에 미치는 영향 평가</t>
    <phoneticPr fontId="2" type="noConversion"/>
  </si>
  <si>
    <t>Seismic damage assessment of RC box tunnels using pseudostatic approach considering soil-structure interaction</t>
    <phoneticPr fontId="2" type="noConversion"/>
  </si>
  <si>
    <t>Sensitivity Analysis of Numerical Coherency Model for Rock Sites</t>
    <phoneticPr fontId="2" type="noConversion"/>
  </si>
  <si>
    <t>Assessment of liquefaction potential using simplified method and one-dimensional effective stress ground response analysis during 2017 Pohang earthquake in South Korea</t>
    <phoneticPr fontId="2" type="noConversion"/>
  </si>
  <si>
    <t>Numerical Estimation of Seismic Earth Pressure on Walls of Basements Underlain by Bedrock</t>
    <phoneticPr fontId="2" type="noConversion"/>
  </si>
  <si>
    <t>Journal of Structural Integrity and Maintenance</t>
    <phoneticPr fontId="2" type="noConversion"/>
  </si>
  <si>
    <t>Applied Sciences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</si>
</sst>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7" formatCode="0.00_);[Red]\(0.00\)"/>
  </numFmts>
  <fonts count="1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u/>
      <sz val="11"/>
      <color theme="10"/>
      <name val="Malgun Gothic"/>
      <family val="3"/>
      <charset val="129"/>
    </font>
    <font>
      <b/>
      <sz val="15"/>
      <color rgb="FFFF0000"/>
      <name val="Malgun Gothic"/>
      <family val="3"/>
      <charset val="129"/>
    </font>
    <font>
      <sz val="11"/>
      <color theme="1"/>
      <name val="맑은 고딕"/>
      <family val="2"/>
      <scheme val="minor"/>
    </font>
    <font>
      <sz val="11"/>
      <name val="Calibri"/>
      <family val="2"/>
    </font>
    <font>
      <sz val="11"/>
      <color theme="1"/>
      <name val="맑은 고딕"/>
      <family val="3"/>
      <charset val="129"/>
    </font>
    <font>
      <sz val="11"/>
      <color theme="1"/>
      <name val="MS Gothic"/>
      <family val="3"/>
      <charset val="128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FEF2CB"/>
      </patternFill>
    </fill>
    <fill>
      <patternFill patternType="solid">
        <fgColor theme="8" tint="0.39997558519241921"/>
        <bgColor rgb="FFFEF2CB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1">
      <alignment vertical="center"/>
    </xf>
    <xf numFmtId="0" fontId="4" fillId="3" borderId="32" xfId="1" applyFont="1" applyFill="1" applyBorder="1" applyAlignment="1">
      <alignment horizontal="center" vertical="center"/>
    </xf>
    <xf numFmtId="0" fontId="3" fillId="3" borderId="33" xfId="1" applyFont="1" applyFill="1" applyBorder="1" applyAlignment="1">
      <alignment horizontal="center" vertical="center"/>
    </xf>
    <xf numFmtId="0" fontId="3" fillId="2" borderId="34" xfId="1" applyFont="1" applyFill="1" applyBorder="1" applyAlignment="1">
      <alignment horizontal="center" vertical="center"/>
    </xf>
    <xf numFmtId="0" fontId="3" fillId="2" borderId="29" xfId="1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3" fillId="2" borderId="37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center" vertical="center"/>
    </xf>
    <xf numFmtId="0" fontId="3" fillId="2" borderId="38" xfId="1" applyFont="1" applyFill="1" applyBorder="1" applyAlignment="1">
      <alignment horizontal="center" vertical="center"/>
    </xf>
    <xf numFmtId="0" fontId="3" fillId="2" borderId="39" xfId="1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 vertical="center"/>
    </xf>
    <xf numFmtId="0" fontId="3" fillId="2" borderId="41" xfId="1" applyFont="1" applyFill="1" applyBorder="1" applyAlignment="1">
      <alignment horizontal="center" vertical="center"/>
    </xf>
    <xf numFmtId="0" fontId="3" fillId="2" borderId="29" xfId="1" applyFont="1" applyFill="1" applyBorder="1" applyAlignment="1">
      <alignment horizontal="center" vertical="center" wrapText="1"/>
    </xf>
    <xf numFmtId="0" fontId="4" fillId="3" borderId="30" xfId="1" applyFont="1" applyFill="1" applyBorder="1" applyAlignment="1">
      <alignment horizontal="center" vertical="center"/>
    </xf>
    <xf numFmtId="0" fontId="4" fillId="3" borderId="31" xfId="1" applyFont="1" applyFill="1" applyBorder="1" applyAlignment="1">
      <alignment horizontal="center" vertical="center"/>
    </xf>
    <xf numFmtId="0" fontId="3" fillId="3" borderId="42" xfId="1" applyFont="1" applyFill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5" borderId="45" xfId="0" applyFont="1" applyFill="1" applyBorder="1" applyAlignment="1">
      <alignment horizontal="center" vertical="center"/>
    </xf>
    <xf numFmtId="0" fontId="3" fillId="6" borderId="46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3" fillId="6" borderId="5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177" fontId="3" fillId="4" borderId="4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bkplus.nrf.re.kr/bkms" TargetMode="External"/><Relationship Id="rId1" Type="http://schemas.openxmlformats.org/officeDocument/2006/relationships/hyperlink" Target="https://jcr.clarivate.com/JCRLandingPageAction.ac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link.springer.com/article/10.1007/s12205-021-2047-9" TargetMode="External"/><Relationship Id="rId1" Type="http://schemas.openxmlformats.org/officeDocument/2006/relationships/hyperlink" Target="https://journals.sagepub.com/doi/abs/10.1177/875529302098198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4481/jkges.2017.18.6.31" TargetMode="External"/><Relationship Id="rId13" Type="http://schemas.openxmlformats.org/officeDocument/2006/relationships/hyperlink" Target="https://doi.org/10.7843/kgs.2018.34.11.71" TargetMode="External"/><Relationship Id="rId18" Type="http://schemas.openxmlformats.org/officeDocument/2006/relationships/hyperlink" Target="https://doi.org/10.14481/jkges.2019.20.9.13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dx.doi.org/10.7843/kgs.2015.31.9.17" TargetMode="External"/><Relationship Id="rId21" Type="http://schemas.openxmlformats.org/officeDocument/2006/relationships/hyperlink" Target="https://doi.org/10.7843/kgs.2020.36.12.77" TargetMode="External"/><Relationship Id="rId7" Type="http://schemas.openxmlformats.org/officeDocument/2006/relationships/hyperlink" Target="http://dx.doi.org/10.7843/kgs.2016.32.7.35" TargetMode="External"/><Relationship Id="rId12" Type="http://schemas.openxmlformats.org/officeDocument/2006/relationships/hyperlink" Target="https://doi.org/10.14481/jkges.2018.19.11.31" TargetMode="External"/><Relationship Id="rId17" Type="http://schemas.openxmlformats.org/officeDocument/2006/relationships/hyperlink" Target="https://doi.org/10.14481/jkges.2019.20.7.5" TargetMode="External"/><Relationship Id="rId25" Type="http://schemas.openxmlformats.org/officeDocument/2006/relationships/hyperlink" Target="https://www.dbpia.co.kr/Journal/articleDetail?nodeId=NODE10572207" TargetMode="External"/><Relationship Id="rId2" Type="http://schemas.openxmlformats.org/officeDocument/2006/relationships/hyperlink" Target="http://dx.doi.org/10.7843/kgs.2015.31.4.57" TargetMode="External"/><Relationship Id="rId16" Type="http://schemas.openxmlformats.org/officeDocument/2006/relationships/hyperlink" Target="https://doi.org/10.7843/kgs.2019.35.4.15" TargetMode="External"/><Relationship Id="rId20" Type="http://schemas.openxmlformats.org/officeDocument/2006/relationships/hyperlink" Target="https://doi.org/10.14481/jkges.2020.21.12.29" TargetMode="External"/><Relationship Id="rId1" Type="http://schemas.openxmlformats.org/officeDocument/2006/relationships/hyperlink" Target="https://doi.org/10.7843/kgs.2015.31.4.45" TargetMode="External"/><Relationship Id="rId6" Type="http://schemas.openxmlformats.org/officeDocument/2006/relationships/hyperlink" Target="http://dx.doi.org/10.7843/kgs.2016.32.6.49" TargetMode="External"/><Relationship Id="rId11" Type="http://schemas.openxmlformats.org/officeDocument/2006/relationships/hyperlink" Target="https://doi.org/10.9711/KTAJ.2017.19.6.959" TargetMode="External"/><Relationship Id="rId24" Type="http://schemas.openxmlformats.org/officeDocument/2006/relationships/hyperlink" Target="https://doi.org/10.7843/kgs.2017.33.3.17" TargetMode="External"/><Relationship Id="rId5" Type="http://schemas.openxmlformats.org/officeDocument/2006/relationships/hyperlink" Target="https://doi.org/10.9711/KTAJ.2016.18.2.119" TargetMode="External"/><Relationship Id="rId15" Type="http://schemas.openxmlformats.org/officeDocument/2006/relationships/hyperlink" Target="https://doi.org/10.12814/jkgss.2018.17.4.103" TargetMode="External"/><Relationship Id="rId23" Type="http://schemas.openxmlformats.org/officeDocument/2006/relationships/hyperlink" Target="https://scholar.google.co.kr/citations?view_op=view_citation&amp;hl=ko&amp;user=s55YrBYAAAAJ&amp;cstart=200&amp;pagesize=100&amp;sortby=pubdate&amp;citation_for_view=s55YrBYAAAAJ:RYcK_YlVTxYC" TargetMode="External"/><Relationship Id="rId10" Type="http://schemas.openxmlformats.org/officeDocument/2006/relationships/hyperlink" Target="https://doi.org/10.14481/jkges.2017.18.11.27" TargetMode="External"/><Relationship Id="rId19" Type="http://schemas.openxmlformats.org/officeDocument/2006/relationships/hyperlink" Target="https://doi.org/10.7843/kgs.2020.36.10.57" TargetMode="External"/><Relationship Id="rId4" Type="http://schemas.openxmlformats.org/officeDocument/2006/relationships/hyperlink" Target="https://doi.org/10.14481/jkges.2015.16.9.43" TargetMode="External"/><Relationship Id="rId9" Type="http://schemas.openxmlformats.org/officeDocument/2006/relationships/hyperlink" Target="https://doi.org/10.14481/jkges.2017.18.8.5" TargetMode="External"/><Relationship Id="rId14" Type="http://schemas.openxmlformats.org/officeDocument/2006/relationships/hyperlink" Target="https://doi.org/10.12814/jkgss.2018.17.4.065" TargetMode="External"/><Relationship Id="rId22" Type="http://schemas.openxmlformats.org/officeDocument/2006/relationships/hyperlink" Target="https://doi.org/10.14481/jkges.2021.22.1.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4"/>
  <sheetViews>
    <sheetView zoomScaleNormal="100" workbookViewId="0">
      <selection activeCell="C41" sqref="C41"/>
    </sheetView>
  </sheetViews>
  <sheetFormatPr defaultColWidth="12.59765625" defaultRowHeight="15" customHeight="1"/>
  <cols>
    <col min="1" max="1" width="7.59765625" style="1" customWidth="1"/>
    <col min="2" max="2" width="4.69921875" style="1" customWidth="1"/>
    <col min="3" max="3" width="55.5" style="1" customWidth="1"/>
    <col min="4" max="4" width="13.5" style="1" customWidth="1"/>
    <col min="5" max="5" width="9.09765625" style="1" customWidth="1"/>
    <col min="6" max="6" width="5.3984375" style="1" customWidth="1"/>
    <col min="7" max="7" width="9.09765625" style="1" customWidth="1"/>
    <col min="8" max="8" width="43.59765625" style="1" bestFit="1" customWidth="1"/>
    <col min="9" max="9" width="9.3984375" style="1" customWidth="1"/>
    <col min="10" max="10" width="9.09765625" style="1" customWidth="1"/>
    <col min="11" max="11" width="14.69921875" style="1" customWidth="1"/>
    <col min="12" max="13" width="8.19921875" style="1" customWidth="1"/>
    <col min="14" max="14" width="5.09765625" style="1" customWidth="1"/>
    <col min="15" max="15" width="8.5" style="1" bestFit="1" customWidth="1"/>
    <col min="16" max="16" width="7.59765625" style="1" customWidth="1"/>
    <col min="17" max="17" width="4.19921875" style="1" customWidth="1"/>
    <col min="18" max="18" width="35" style="1" bestFit="1" customWidth="1"/>
    <col min="19" max="19" width="12.59765625" style="1" customWidth="1"/>
    <col min="20" max="20" width="15.3984375" style="1" customWidth="1"/>
    <col min="21" max="25" width="7.59765625" style="1" customWidth="1"/>
    <col min="26" max="16384" width="12.59765625" style="1"/>
  </cols>
  <sheetData>
    <row r="1" spans="1:20" ht="16.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2"/>
      <c r="R1" s="2"/>
      <c r="S1" s="2"/>
      <c r="T1" s="2"/>
    </row>
    <row r="2" spans="1:20" ht="16.5" customHeight="1">
      <c r="B2" s="14"/>
      <c r="C2" s="15" t="s">
        <v>68</v>
      </c>
      <c r="D2" s="16" t="s">
        <v>551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2"/>
      <c r="R2" s="2"/>
      <c r="S2" s="2"/>
      <c r="T2" s="2"/>
    </row>
    <row r="3" spans="1:20" ht="16.5" customHeight="1">
      <c r="B3" s="2"/>
      <c r="C3" s="17" t="s">
        <v>69</v>
      </c>
      <c r="D3" s="2" t="s">
        <v>70</v>
      </c>
      <c r="E3" s="2">
        <v>2023</v>
      </c>
      <c r="F3" s="2" t="s">
        <v>71</v>
      </c>
      <c r="G3" s="2"/>
      <c r="H3" s="2"/>
      <c r="I3" s="2"/>
      <c r="J3" s="2"/>
      <c r="K3" s="2"/>
      <c r="L3" s="2"/>
      <c r="M3" s="2"/>
      <c r="N3" s="2"/>
      <c r="O3" s="2"/>
      <c r="Q3" s="2"/>
      <c r="R3" s="2"/>
      <c r="S3" s="2"/>
      <c r="T3" s="2"/>
    </row>
    <row r="4" spans="1:20" ht="16.5" customHeight="1">
      <c r="B4" s="2"/>
      <c r="C4" s="17" t="s">
        <v>72</v>
      </c>
      <c r="D4" s="114" t="s">
        <v>73</v>
      </c>
      <c r="E4" s="115"/>
      <c r="F4" s="115"/>
      <c r="G4" s="115"/>
      <c r="H4" s="115"/>
      <c r="I4" s="2"/>
      <c r="J4" s="2"/>
      <c r="K4" s="2"/>
      <c r="L4" s="2"/>
      <c r="M4" s="2"/>
      <c r="N4" s="2"/>
      <c r="O4" s="2"/>
      <c r="Q4" s="2"/>
      <c r="R4" s="2"/>
      <c r="S4" s="2"/>
      <c r="T4" s="2"/>
    </row>
    <row r="5" spans="1:20" ht="16.5" customHeight="1">
      <c r="B5" s="2"/>
      <c r="C5" s="17" t="s">
        <v>74</v>
      </c>
      <c r="D5" s="114" t="s">
        <v>75</v>
      </c>
      <c r="E5" s="115"/>
      <c r="F5" s="115"/>
      <c r="G5" s="115"/>
      <c r="H5" s="115"/>
      <c r="I5" s="2"/>
      <c r="J5" s="2"/>
      <c r="K5" s="2"/>
      <c r="L5" s="2"/>
      <c r="M5" s="2"/>
      <c r="N5" s="2"/>
      <c r="O5" s="2"/>
      <c r="Q5" s="2"/>
      <c r="R5" s="2"/>
      <c r="S5" s="2"/>
      <c r="T5" s="2"/>
    </row>
    <row r="6" spans="1:20" ht="16.5" customHeight="1">
      <c r="B6" s="2"/>
      <c r="C6" s="17" t="s">
        <v>76</v>
      </c>
      <c r="D6" s="116" t="s">
        <v>77</v>
      </c>
      <c r="E6" s="116"/>
      <c r="F6" s="116"/>
      <c r="G6" s="116"/>
      <c r="H6" s="116"/>
      <c r="I6" s="2"/>
      <c r="J6" s="2"/>
      <c r="K6" s="2"/>
      <c r="L6" s="2"/>
      <c r="M6" s="2"/>
      <c r="N6" s="2"/>
      <c r="O6" s="2"/>
      <c r="Q6" s="2"/>
      <c r="R6" s="2"/>
      <c r="S6" s="2"/>
      <c r="T6" s="2"/>
    </row>
    <row r="7" spans="1:20" ht="16.5" customHeight="1" thickBot="1">
      <c r="B7" s="2"/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  <c r="O7" s="2">
        <v>13</v>
      </c>
      <c r="Q7" s="2"/>
      <c r="R7" s="2"/>
      <c r="S7" s="2"/>
      <c r="T7" s="2"/>
    </row>
    <row r="8" spans="1:20" ht="16.5" customHeight="1">
      <c r="A8" s="51" t="s">
        <v>446</v>
      </c>
      <c r="B8" s="80" t="s">
        <v>2</v>
      </c>
      <c r="C8" s="81" t="s">
        <v>78</v>
      </c>
      <c r="D8" s="81" t="s">
        <v>557</v>
      </c>
      <c r="E8" s="81" t="s">
        <v>8</v>
      </c>
      <c r="F8" s="81" t="s">
        <v>79</v>
      </c>
      <c r="G8" s="81" t="s">
        <v>9</v>
      </c>
      <c r="H8" s="81" t="s">
        <v>80</v>
      </c>
      <c r="I8" s="81" t="s">
        <v>81</v>
      </c>
      <c r="J8" s="81" t="s">
        <v>82</v>
      </c>
      <c r="K8" s="81" t="s">
        <v>83</v>
      </c>
      <c r="L8" s="81" t="s">
        <v>84</v>
      </c>
      <c r="M8" s="81" t="s">
        <v>85</v>
      </c>
      <c r="N8" s="81" t="s">
        <v>86</v>
      </c>
      <c r="O8" s="82" t="s">
        <v>87</v>
      </c>
      <c r="Q8" s="18" t="s">
        <v>10</v>
      </c>
      <c r="R8" s="18" t="s">
        <v>80</v>
      </c>
      <c r="S8" s="18" t="s">
        <v>88</v>
      </c>
      <c r="T8" s="18" t="s">
        <v>89</v>
      </c>
    </row>
    <row r="9" spans="1:20" ht="16.5" customHeight="1">
      <c r="A9" s="19" t="s">
        <v>539</v>
      </c>
      <c r="B9" s="83">
        <v>1</v>
      </c>
      <c r="C9" s="8" t="s">
        <v>56</v>
      </c>
      <c r="D9" s="8" t="s">
        <v>90</v>
      </c>
      <c r="E9" s="8" t="s">
        <v>91</v>
      </c>
      <c r="F9" s="8"/>
      <c r="G9" s="8" t="s">
        <v>92</v>
      </c>
      <c r="H9" s="8" t="s">
        <v>93</v>
      </c>
      <c r="I9" s="8">
        <f t="shared" ref="I9:I33" si="0">INDEX($R$9:$T$20,MATCH($H9,$R$9:$R$20,0),2)</f>
        <v>254</v>
      </c>
      <c r="J9" s="8">
        <v>50</v>
      </c>
      <c r="K9" s="8">
        <v>80.5</v>
      </c>
      <c r="L9" s="8">
        <f t="shared" ref="L9:L15" si="1">100-K9</f>
        <v>19.5</v>
      </c>
      <c r="M9" s="8" t="str">
        <f>IF(L9&lt;25,"Q1",IF(L9&lt;50,"Q2",IF(L9&lt;75,"Q3","Q4")))</f>
        <v>Q1</v>
      </c>
      <c r="N9" s="20">
        <f>2040/539</f>
        <v>3.7847866419294989</v>
      </c>
      <c r="O9" s="84">
        <v>8.8299999999999993E-3</v>
      </c>
      <c r="Q9" s="8">
        <v>1</v>
      </c>
      <c r="R9" s="8" t="s">
        <v>94</v>
      </c>
      <c r="S9" s="8">
        <v>63</v>
      </c>
      <c r="T9" s="8">
        <f t="shared" ref="T9:T18" si="2">ROUNDDOWN(S9*0.2,0)</f>
        <v>12</v>
      </c>
    </row>
    <row r="10" spans="1:20" ht="16.5" customHeight="1">
      <c r="A10" s="19" t="s">
        <v>539</v>
      </c>
      <c r="B10" s="83">
        <f>B9+1</f>
        <v>2</v>
      </c>
      <c r="C10" s="8" t="s">
        <v>30</v>
      </c>
      <c r="D10" s="8" t="s">
        <v>90</v>
      </c>
      <c r="E10" s="8" t="s">
        <v>95</v>
      </c>
      <c r="F10" s="8"/>
      <c r="G10" s="8" t="s">
        <v>96</v>
      </c>
      <c r="H10" s="8" t="s">
        <v>93</v>
      </c>
      <c r="I10" s="8">
        <f t="shared" si="0"/>
        <v>254</v>
      </c>
      <c r="J10" s="8">
        <v>34</v>
      </c>
      <c r="K10" s="8">
        <v>86.8</v>
      </c>
      <c r="L10" s="8">
        <f t="shared" si="1"/>
        <v>13.200000000000003</v>
      </c>
      <c r="M10" s="8" t="str">
        <f t="shared" ref="M10:M15" si="3">IF(L10&lt;25,"Q1",IF(L10&lt;50,"Q2",IF(L10&lt;75,"Q3","Q4")))</f>
        <v>Q1</v>
      </c>
      <c r="N10" s="20">
        <f>4534/1085</f>
        <v>4.1788018433179728</v>
      </c>
      <c r="O10" s="84">
        <v>1.7729999999999999E-2</v>
      </c>
      <c r="Q10" s="8">
        <v>2</v>
      </c>
      <c r="R10" s="8" t="s">
        <v>97</v>
      </c>
      <c r="S10" s="8">
        <v>182</v>
      </c>
      <c r="T10" s="8">
        <f t="shared" si="2"/>
        <v>36</v>
      </c>
    </row>
    <row r="11" spans="1:20" ht="16.5" customHeight="1">
      <c r="A11" s="19" t="s">
        <v>539</v>
      </c>
      <c r="B11" s="83">
        <f t="shared" ref="B11:B43" si="4">B10+1</f>
        <v>3</v>
      </c>
      <c r="C11" s="8" t="s">
        <v>98</v>
      </c>
      <c r="D11" s="8" t="s">
        <v>90</v>
      </c>
      <c r="E11" s="8" t="s">
        <v>99</v>
      </c>
      <c r="F11" s="8"/>
      <c r="G11" s="8" t="s">
        <v>100</v>
      </c>
      <c r="H11" s="8" t="s">
        <v>101</v>
      </c>
      <c r="I11" s="8">
        <f t="shared" si="0"/>
        <v>65</v>
      </c>
      <c r="J11" s="8">
        <v>4</v>
      </c>
      <c r="K11" s="8">
        <v>94.6</v>
      </c>
      <c r="L11" s="8">
        <f t="shared" si="1"/>
        <v>5.4000000000000057</v>
      </c>
      <c r="M11" s="8" t="str">
        <f t="shared" si="3"/>
        <v>Q1</v>
      </c>
      <c r="N11" s="20">
        <f>19648/4309</f>
        <v>4.5597586446971459</v>
      </c>
      <c r="O11" s="84">
        <v>4.2540000000000001E-2</v>
      </c>
      <c r="Q11" s="8">
        <v>3</v>
      </c>
      <c r="R11" s="8" t="s">
        <v>102</v>
      </c>
      <c r="S11" s="8">
        <v>101</v>
      </c>
      <c r="T11" s="8">
        <f t="shared" si="2"/>
        <v>20</v>
      </c>
    </row>
    <row r="12" spans="1:20" ht="16.5" customHeight="1">
      <c r="A12" s="19" t="s">
        <v>539</v>
      </c>
      <c r="B12" s="83">
        <f t="shared" si="4"/>
        <v>4</v>
      </c>
      <c r="C12" s="8" t="s">
        <v>103</v>
      </c>
      <c r="D12" s="8" t="s">
        <v>90</v>
      </c>
      <c r="E12" s="8" t="s">
        <v>104</v>
      </c>
      <c r="F12" s="8"/>
      <c r="G12" s="8" t="s">
        <v>105</v>
      </c>
      <c r="H12" s="8" t="s">
        <v>97</v>
      </c>
      <c r="I12" s="8">
        <f t="shared" si="0"/>
        <v>182</v>
      </c>
      <c r="J12" s="8">
        <v>9</v>
      </c>
      <c r="K12" s="8">
        <v>95.3</v>
      </c>
      <c r="L12" s="8">
        <f t="shared" si="1"/>
        <v>4.7000000000000028</v>
      </c>
      <c r="M12" s="8" t="str">
        <f t="shared" si="3"/>
        <v>Q1</v>
      </c>
      <c r="N12" s="20">
        <f>6898/1036</f>
        <v>6.6583011583011587</v>
      </c>
      <c r="O12" s="84">
        <v>2.2210000000000001E-2</v>
      </c>
      <c r="Q12" s="8">
        <v>4</v>
      </c>
      <c r="R12" s="8" t="s">
        <v>106</v>
      </c>
      <c r="S12" s="8">
        <v>148</v>
      </c>
      <c r="T12" s="8">
        <f t="shared" si="2"/>
        <v>29</v>
      </c>
    </row>
    <row r="13" spans="1:20" ht="16.5" customHeight="1">
      <c r="A13" s="19" t="s">
        <v>539</v>
      </c>
      <c r="B13" s="83">
        <f t="shared" si="4"/>
        <v>5</v>
      </c>
      <c r="C13" s="8" t="s">
        <v>14</v>
      </c>
      <c r="D13" s="8" t="s">
        <v>90</v>
      </c>
      <c r="E13" s="8" t="s">
        <v>107</v>
      </c>
      <c r="F13" s="8"/>
      <c r="G13" s="8" t="s">
        <v>108</v>
      </c>
      <c r="H13" s="8" t="s">
        <v>102</v>
      </c>
      <c r="I13" s="8">
        <f t="shared" si="0"/>
        <v>101</v>
      </c>
      <c r="J13" s="8">
        <v>35</v>
      </c>
      <c r="K13" s="8">
        <v>65.8</v>
      </c>
      <c r="L13" s="8">
        <f t="shared" si="1"/>
        <v>34.200000000000003</v>
      </c>
      <c r="M13" s="8" t="str">
        <f t="shared" si="3"/>
        <v>Q2</v>
      </c>
      <c r="N13" s="20">
        <f>1020/385</f>
        <v>2.6493506493506493</v>
      </c>
      <c r="O13" s="84">
        <v>8.4499999999999992E-3</v>
      </c>
      <c r="Q13" s="8">
        <v>5</v>
      </c>
      <c r="R13" s="8" t="s">
        <v>109</v>
      </c>
      <c r="S13" s="8">
        <v>14</v>
      </c>
      <c r="T13" s="8">
        <f t="shared" si="2"/>
        <v>2</v>
      </c>
    </row>
    <row r="14" spans="1:20" ht="16.5" customHeight="1">
      <c r="A14" s="19" t="s">
        <v>539</v>
      </c>
      <c r="B14" s="83">
        <f t="shared" si="4"/>
        <v>6</v>
      </c>
      <c r="C14" s="8" t="s">
        <v>110</v>
      </c>
      <c r="D14" s="8" t="s">
        <v>90</v>
      </c>
      <c r="E14" s="8" t="s">
        <v>427</v>
      </c>
      <c r="F14" s="8"/>
      <c r="G14" s="8" t="s">
        <v>111</v>
      </c>
      <c r="H14" s="8" t="s">
        <v>93</v>
      </c>
      <c r="I14" s="8">
        <f t="shared" si="0"/>
        <v>254</v>
      </c>
      <c r="J14" s="8">
        <v>23</v>
      </c>
      <c r="K14" s="8">
        <v>91.1</v>
      </c>
      <c r="L14" s="8">
        <f t="shared" si="1"/>
        <v>8.9000000000000057</v>
      </c>
      <c r="M14" s="8" t="str">
        <f t="shared" si="3"/>
        <v>Q1</v>
      </c>
      <c r="N14" s="20">
        <f>4647/850</f>
        <v>5.4670588235294115</v>
      </c>
      <c r="O14" s="84">
        <v>1.9609999999999999E-2</v>
      </c>
      <c r="Q14" s="8">
        <v>6</v>
      </c>
      <c r="R14" s="8" t="s">
        <v>93</v>
      </c>
      <c r="S14" s="8">
        <v>254</v>
      </c>
      <c r="T14" s="8">
        <f t="shared" si="2"/>
        <v>50</v>
      </c>
    </row>
    <row r="15" spans="1:20" ht="16.5" customHeight="1">
      <c r="A15" s="19" t="s">
        <v>539</v>
      </c>
      <c r="B15" s="83">
        <f t="shared" si="4"/>
        <v>7</v>
      </c>
      <c r="C15" s="8" t="s">
        <v>65</v>
      </c>
      <c r="D15" s="8" t="s">
        <v>90</v>
      </c>
      <c r="E15" s="8" t="s">
        <v>428</v>
      </c>
      <c r="F15" s="8"/>
      <c r="G15" s="8" t="s">
        <v>429</v>
      </c>
      <c r="H15" s="8" t="s">
        <v>93</v>
      </c>
      <c r="I15" s="8">
        <f t="shared" si="0"/>
        <v>254</v>
      </c>
      <c r="J15" s="8">
        <v>45</v>
      </c>
      <c r="K15" s="8">
        <v>82.5</v>
      </c>
      <c r="L15" s="8">
        <f t="shared" si="1"/>
        <v>17.5</v>
      </c>
      <c r="M15" s="8" t="str">
        <f t="shared" si="3"/>
        <v>Q1</v>
      </c>
      <c r="N15" s="20">
        <f>1629/418</f>
        <v>3.897129186602871</v>
      </c>
      <c r="O15" s="84">
        <v>8.3400000000000002E-3</v>
      </c>
      <c r="Q15" s="8">
        <v>7</v>
      </c>
      <c r="R15" s="8" t="s">
        <v>101</v>
      </c>
      <c r="S15" s="8">
        <v>65</v>
      </c>
      <c r="T15" s="8">
        <f t="shared" si="2"/>
        <v>13</v>
      </c>
    </row>
    <row r="16" spans="1:20" ht="16.5" customHeight="1">
      <c r="A16" s="19" t="s">
        <v>539</v>
      </c>
      <c r="B16" s="83">
        <f t="shared" si="4"/>
        <v>8</v>
      </c>
      <c r="C16" s="8" t="s">
        <v>61</v>
      </c>
      <c r="D16" s="8" t="s">
        <v>90</v>
      </c>
      <c r="E16" s="8" t="s">
        <v>114</v>
      </c>
      <c r="F16" s="8"/>
      <c r="G16" s="8" t="s">
        <v>430</v>
      </c>
      <c r="H16" s="8" t="s">
        <v>115</v>
      </c>
      <c r="I16" s="8">
        <f t="shared" si="0"/>
        <v>181</v>
      </c>
      <c r="J16" s="8">
        <v>44</v>
      </c>
      <c r="K16" s="8">
        <v>76</v>
      </c>
      <c r="L16" s="8">
        <f t="shared" ref="L16:L29" si="5">100-K16</f>
        <v>24</v>
      </c>
      <c r="M16" s="8" t="str">
        <f t="shared" ref="M16:M29" si="6">IF(L16&lt;25,"Q1",IF(L16&lt;50,"Q2",IF(L16&lt;75,"Q3","Q4")))</f>
        <v>Q1</v>
      </c>
      <c r="N16" s="20">
        <f>60716/24763</f>
        <v>2.4518838589831602</v>
      </c>
      <c r="O16" s="84">
        <v>0.11103</v>
      </c>
      <c r="Q16" s="8">
        <v>8</v>
      </c>
      <c r="R16" s="8" t="s">
        <v>113</v>
      </c>
      <c r="S16" s="8">
        <v>92</v>
      </c>
      <c r="T16" s="8">
        <f>ROUNDDOWN(S16*0.2,0)</f>
        <v>18</v>
      </c>
    </row>
    <row r="17" spans="1:20" ht="16.5" customHeight="1">
      <c r="A17" s="19" t="s">
        <v>539</v>
      </c>
      <c r="B17" s="83">
        <f t="shared" si="4"/>
        <v>9</v>
      </c>
      <c r="C17" s="8" t="s">
        <v>32</v>
      </c>
      <c r="D17" s="8" t="s">
        <v>90</v>
      </c>
      <c r="E17" s="8" t="s">
        <v>431</v>
      </c>
      <c r="F17" s="8"/>
      <c r="G17" s="8" t="s">
        <v>117</v>
      </c>
      <c r="H17" s="8" t="s">
        <v>97</v>
      </c>
      <c r="I17" s="8">
        <f t="shared" si="0"/>
        <v>182</v>
      </c>
      <c r="J17" s="8">
        <v>91</v>
      </c>
      <c r="K17" s="8">
        <v>50.3</v>
      </c>
      <c r="L17" s="8">
        <f t="shared" si="5"/>
        <v>49.7</v>
      </c>
      <c r="M17" s="8" t="str">
        <f t="shared" si="6"/>
        <v>Q2</v>
      </c>
      <c r="N17" s="20">
        <f>1601/838</f>
        <v>1.9105011933174225</v>
      </c>
      <c r="O17" s="84">
        <v>7.1199999999999996E-3</v>
      </c>
      <c r="Q17" s="8">
        <v>9</v>
      </c>
      <c r="R17" s="8" t="s">
        <v>116</v>
      </c>
      <c r="S17" s="8">
        <v>181</v>
      </c>
      <c r="T17" s="8">
        <f t="shared" si="2"/>
        <v>36</v>
      </c>
    </row>
    <row r="18" spans="1:20" ht="16.5" customHeight="1">
      <c r="A18" s="19" t="s">
        <v>539</v>
      </c>
      <c r="B18" s="83">
        <f t="shared" si="4"/>
        <v>10</v>
      </c>
      <c r="C18" s="8" t="s">
        <v>119</v>
      </c>
      <c r="D18" s="8" t="s">
        <v>90</v>
      </c>
      <c r="E18" s="8" t="s">
        <v>432</v>
      </c>
      <c r="F18" s="8"/>
      <c r="G18" s="8" t="s">
        <v>120</v>
      </c>
      <c r="H18" s="8" t="s">
        <v>97</v>
      </c>
      <c r="I18" s="8">
        <f t="shared" si="0"/>
        <v>182</v>
      </c>
      <c r="J18" s="8">
        <v>18</v>
      </c>
      <c r="K18" s="8">
        <v>90.4</v>
      </c>
      <c r="L18" s="8">
        <f t="shared" si="5"/>
        <v>9.5999999999999943</v>
      </c>
      <c r="M18" s="8" t="str">
        <f t="shared" si="6"/>
        <v>Q1</v>
      </c>
      <c r="N18" s="20">
        <f>19364/3484</f>
        <v>5.5579793340987367</v>
      </c>
      <c r="O18" s="84">
        <v>5.6989999999999999E-2</v>
      </c>
      <c r="Q18" s="8">
        <v>10</v>
      </c>
      <c r="R18" s="8" t="s">
        <v>118</v>
      </c>
      <c r="S18" s="8">
        <v>183</v>
      </c>
      <c r="T18" s="8">
        <f t="shared" si="2"/>
        <v>36</v>
      </c>
    </row>
    <row r="19" spans="1:20" ht="16.5" customHeight="1">
      <c r="A19" s="19" t="s">
        <v>539</v>
      </c>
      <c r="B19" s="83">
        <f t="shared" si="4"/>
        <v>11</v>
      </c>
      <c r="C19" s="8" t="s">
        <v>34</v>
      </c>
      <c r="D19" s="8" t="s">
        <v>90</v>
      </c>
      <c r="E19" s="8" t="s">
        <v>433</v>
      </c>
      <c r="F19" s="8"/>
      <c r="G19" s="8" t="s">
        <v>121</v>
      </c>
      <c r="H19" s="8" t="s">
        <v>97</v>
      </c>
      <c r="I19" s="8">
        <f t="shared" si="0"/>
        <v>182</v>
      </c>
      <c r="J19" s="8">
        <v>70</v>
      </c>
      <c r="K19" s="8">
        <v>61.8</v>
      </c>
      <c r="L19" s="8">
        <f t="shared" si="5"/>
        <v>38.200000000000003</v>
      </c>
      <c r="M19" s="8" t="str">
        <f t="shared" si="6"/>
        <v>Q2</v>
      </c>
      <c r="N19" s="20">
        <f>961/390</f>
        <v>2.4641025641025642</v>
      </c>
      <c r="O19" s="84">
        <v>2.7699999999999999E-3</v>
      </c>
      <c r="Q19" s="8">
        <v>11</v>
      </c>
      <c r="R19" s="8" t="s">
        <v>157</v>
      </c>
      <c r="S19" s="8">
        <v>50</v>
      </c>
      <c r="T19" s="8">
        <f t="shared" ref="T19" si="7">ROUNDDOWN(S19*0.2,0)</f>
        <v>10</v>
      </c>
    </row>
    <row r="20" spans="1:20" ht="16.5" customHeight="1">
      <c r="A20" s="19" t="s">
        <v>539</v>
      </c>
      <c r="B20" s="83">
        <f t="shared" si="4"/>
        <v>12</v>
      </c>
      <c r="C20" s="8" t="s">
        <v>122</v>
      </c>
      <c r="D20" s="8" t="s">
        <v>90</v>
      </c>
      <c r="E20" s="8" t="s">
        <v>434</v>
      </c>
      <c r="F20" s="8"/>
      <c r="G20" s="8" t="s">
        <v>123</v>
      </c>
      <c r="H20" s="8" t="s">
        <v>115</v>
      </c>
      <c r="I20" s="8">
        <f t="shared" si="0"/>
        <v>181</v>
      </c>
      <c r="J20" s="8">
        <v>75</v>
      </c>
      <c r="K20" s="8">
        <v>58.8</v>
      </c>
      <c r="L20" s="8">
        <f t="shared" si="5"/>
        <v>41.2</v>
      </c>
      <c r="M20" s="8" t="str">
        <f t="shared" si="6"/>
        <v>Q2</v>
      </c>
      <c r="N20" s="20">
        <f>321/215</f>
        <v>1.4930232558139536</v>
      </c>
      <c r="O20" s="84">
        <v>1.82E-3</v>
      </c>
      <c r="Q20" s="8">
        <v>12</v>
      </c>
      <c r="R20" s="8" t="s">
        <v>419</v>
      </c>
      <c r="S20" s="8">
        <v>92</v>
      </c>
      <c r="T20" s="8">
        <f>ROUNDDOWN(S20*0.2,0)</f>
        <v>18</v>
      </c>
    </row>
    <row r="21" spans="1:20" ht="16.5" customHeight="1">
      <c r="A21" s="19" t="s">
        <v>539</v>
      </c>
      <c r="B21" s="83">
        <f t="shared" si="4"/>
        <v>13</v>
      </c>
      <c r="C21" s="8" t="s">
        <v>27</v>
      </c>
      <c r="D21" s="8" t="s">
        <v>90</v>
      </c>
      <c r="E21" s="8" t="s">
        <v>124</v>
      </c>
      <c r="F21" s="8"/>
      <c r="G21" s="8" t="s">
        <v>125</v>
      </c>
      <c r="H21" s="8" t="s">
        <v>97</v>
      </c>
      <c r="I21" s="8">
        <f t="shared" si="0"/>
        <v>182</v>
      </c>
      <c r="J21" s="8">
        <v>51</v>
      </c>
      <c r="K21" s="8">
        <v>72.3</v>
      </c>
      <c r="L21" s="8">
        <f t="shared" si="5"/>
        <v>27.700000000000003</v>
      </c>
      <c r="M21" s="8" t="str">
        <f t="shared" si="6"/>
        <v>Q2</v>
      </c>
      <c r="N21" s="20">
        <f>754/240</f>
        <v>3.1416666666666666</v>
      </c>
      <c r="O21" s="84">
        <v>3.8899999999999998E-3</v>
      </c>
      <c r="Q21" s="2"/>
      <c r="R21" s="2"/>
      <c r="S21" s="2"/>
      <c r="T21" s="2"/>
    </row>
    <row r="22" spans="1:20" ht="16.5" customHeight="1">
      <c r="A22" s="19" t="s">
        <v>539</v>
      </c>
      <c r="B22" s="83">
        <f t="shared" si="4"/>
        <v>14</v>
      </c>
      <c r="C22" s="8" t="s">
        <v>36</v>
      </c>
      <c r="D22" s="8" t="s">
        <v>90</v>
      </c>
      <c r="E22" s="8" t="s">
        <v>126</v>
      </c>
      <c r="F22" s="8"/>
      <c r="G22" s="8" t="s">
        <v>127</v>
      </c>
      <c r="H22" s="8" t="s">
        <v>97</v>
      </c>
      <c r="I22" s="8">
        <f t="shared" si="0"/>
        <v>182</v>
      </c>
      <c r="J22" s="8">
        <v>26</v>
      </c>
      <c r="K22" s="8">
        <v>86</v>
      </c>
      <c r="L22" s="8">
        <f t="shared" si="5"/>
        <v>14</v>
      </c>
      <c r="M22" s="8" t="str">
        <f t="shared" si="6"/>
        <v>Q1</v>
      </c>
      <c r="N22" s="20">
        <f>1526/358</f>
        <v>4.2625698324022343</v>
      </c>
      <c r="O22" s="84">
        <v>6.0099999999999997E-3</v>
      </c>
      <c r="Q22" s="2"/>
      <c r="R22" s="2"/>
      <c r="S22" s="2"/>
      <c r="T22" s="2"/>
    </row>
    <row r="23" spans="1:20" ht="16.5" customHeight="1">
      <c r="A23" s="19" t="s">
        <v>539</v>
      </c>
      <c r="B23" s="83">
        <f t="shared" si="4"/>
        <v>15</v>
      </c>
      <c r="C23" s="8" t="s">
        <v>43</v>
      </c>
      <c r="D23" s="8" t="s">
        <v>90</v>
      </c>
      <c r="E23" s="8" t="s">
        <v>128</v>
      </c>
      <c r="F23" s="8"/>
      <c r="G23" s="8" t="s">
        <v>129</v>
      </c>
      <c r="H23" s="8" t="s">
        <v>97</v>
      </c>
      <c r="I23" s="8">
        <f t="shared" si="0"/>
        <v>182</v>
      </c>
      <c r="J23" s="8">
        <v>20</v>
      </c>
      <c r="K23" s="8">
        <v>89.3</v>
      </c>
      <c r="L23" s="8">
        <f t="shared" si="5"/>
        <v>10.700000000000003</v>
      </c>
      <c r="M23" s="8" t="str">
        <f t="shared" si="6"/>
        <v>Q1</v>
      </c>
      <c r="N23" s="20">
        <f>2345/479</f>
        <v>4.8956158663883089</v>
      </c>
      <c r="O23" s="84">
        <v>5.6899999999999997E-3</v>
      </c>
      <c r="Q23" s="2"/>
      <c r="R23" s="2"/>
      <c r="S23" s="2"/>
      <c r="T23" s="2"/>
    </row>
    <row r="24" spans="1:20" ht="16.5" customHeight="1">
      <c r="A24" s="19" t="s">
        <v>539</v>
      </c>
      <c r="B24" s="83">
        <f t="shared" si="4"/>
        <v>16</v>
      </c>
      <c r="C24" s="8" t="s">
        <v>45</v>
      </c>
      <c r="D24" s="8" t="s">
        <v>90</v>
      </c>
      <c r="E24" s="8" t="s">
        <v>130</v>
      </c>
      <c r="F24" s="8"/>
      <c r="G24" s="8" t="s">
        <v>131</v>
      </c>
      <c r="H24" s="8" t="s">
        <v>97</v>
      </c>
      <c r="I24" s="8">
        <f t="shared" si="0"/>
        <v>182</v>
      </c>
      <c r="J24" s="8">
        <v>70</v>
      </c>
      <c r="K24" s="8">
        <v>61.8</v>
      </c>
      <c r="L24" s="8">
        <f t="shared" si="5"/>
        <v>38.200000000000003</v>
      </c>
      <c r="M24" s="8" t="str">
        <f t="shared" si="6"/>
        <v>Q2</v>
      </c>
      <c r="N24" s="20">
        <f>1213/483</f>
        <v>2.5113871635610767</v>
      </c>
      <c r="O24" s="84">
        <v>4.45E-3</v>
      </c>
      <c r="Q24" s="2"/>
      <c r="R24" s="2"/>
      <c r="S24" s="2"/>
      <c r="T24" s="2"/>
    </row>
    <row r="25" spans="1:20" ht="16.5" customHeight="1">
      <c r="A25" s="19" t="s">
        <v>539</v>
      </c>
      <c r="B25" s="83">
        <f t="shared" si="4"/>
        <v>17</v>
      </c>
      <c r="C25" s="8" t="s">
        <v>48</v>
      </c>
      <c r="D25" s="8" t="s">
        <v>90</v>
      </c>
      <c r="E25" s="8" t="s">
        <v>132</v>
      </c>
      <c r="F25" s="8"/>
      <c r="G25" s="8" t="s">
        <v>133</v>
      </c>
      <c r="H25" s="8" t="s">
        <v>97</v>
      </c>
      <c r="I25" s="8">
        <f t="shared" si="0"/>
        <v>182</v>
      </c>
      <c r="J25" s="8">
        <v>35</v>
      </c>
      <c r="K25" s="8">
        <v>81</v>
      </c>
      <c r="L25" s="8">
        <f t="shared" si="5"/>
        <v>19</v>
      </c>
      <c r="M25" s="8" t="str">
        <f t="shared" si="6"/>
        <v>Q1</v>
      </c>
      <c r="N25" s="20">
        <f>10190/2637</f>
        <v>3.8642396662874479</v>
      </c>
      <c r="O25" s="84">
        <v>1.8880000000000001E-2</v>
      </c>
      <c r="Q25" s="2"/>
      <c r="R25" s="2"/>
      <c r="S25" s="2"/>
      <c r="T25" s="2"/>
    </row>
    <row r="26" spans="1:20" ht="16.5" customHeight="1">
      <c r="A26" s="19" t="s">
        <v>539</v>
      </c>
      <c r="B26" s="83">
        <f t="shared" si="4"/>
        <v>18</v>
      </c>
      <c r="C26" s="8" t="s">
        <v>50</v>
      </c>
      <c r="D26" s="8" t="s">
        <v>90</v>
      </c>
      <c r="E26" s="8" t="s">
        <v>134</v>
      </c>
      <c r="F26" s="8"/>
      <c r="G26" s="8" t="s">
        <v>135</v>
      </c>
      <c r="H26" s="8" t="s">
        <v>118</v>
      </c>
      <c r="I26" s="8">
        <f t="shared" si="0"/>
        <v>183</v>
      </c>
      <c r="J26" s="8">
        <v>64</v>
      </c>
      <c r="K26" s="8">
        <v>65.3</v>
      </c>
      <c r="L26" s="8">
        <f t="shared" si="5"/>
        <v>34.700000000000003</v>
      </c>
      <c r="M26" s="8" t="str">
        <f t="shared" si="6"/>
        <v>Q2</v>
      </c>
      <c r="N26" s="20">
        <f>693/267</f>
        <v>2.595505617977528</v>
      </c>
      <c r="O26" s="84">
        <v>4.28E-3</v>
      </c>
      <c r="Q26" s="2"/>
      <c r="R26" s="2"/>
      <c r="S26" s="2"/>
      <c r="T26" s="2"/>
    </row>
    <row r="27" spans="1:20" ht="16.5" customHeight="1">
      <c r="A27" s="19" t="s">
        <v>539</v>
      </c>
      <c r="B27" s="83">
        <f t="shared" si="4"/>
        <v>19</v>
      </c>
      <c r="C27" s="8" t="s">
        <v>52</v>
      </c>
      <c r="D27" s="8" t="s">
        <v>90</v>
      </c>
      <c r="E27" s="8" t="s">
        <v>136</v>
      </c>
      <c r="F27" s="8"/>
      <c r="G27" s="8" t="s">
        <v>137</v>
      </c>
      <c r="H27" s="8" t="s">
        <v>93</v>
      </c>
      <c r="I27" s="8">
        <f t="shared" si="0"/>
        <v>254</v>
      </c>
      <c r="J27" s="8">
        <v>26</v>
      </c>
      <c r="K27" s="8">
        <v>90</v>
      </c>
      <c r="L27" s="8">
        <f t="shared" si="5"/>
        <v>10</v>
      </c>
      <c r="M27" s="8" t="str">
        <f t="shared" si="6"/>
        <v>Q1</v>
      </c>
      <c r="N27" s="20">
        <f>5437/1032</f>
        <v>5.2684108527131785</v>
      </c>
      <c r="O27" s="84">
        <v>1.9879999999999998E-2</v>
      </c>
      <c r="Q27" s="2"/>
      <c r="R27" s="2"/>
      <c r="S27" s="2"/>
      <c r="T27" s="2"/>
    </row>
    <row r="28" spans="1:20" ht="16.5" customHeight="1">
      <c r="A28" s="19" t="s">
        <v>539</v>
      </c>
      <c r="B28" s="83">
        <f t="shared" si="4"/>
        <v>20</v>
      </c>
      <c r="C28" s="8" t="s">
        <v>54</v>
      </c>
      <c r="D28" s="8" t="s">
        <v>90</v>
      </c>
      <c r="E28" s="8" t="s">
        <v>138</v>
      </c>
      <c r="F28" s="8"/>
      <c r="G28" s="8" t="s">
        <v>139</v>
      </c>
      <c r="H28" s="8" t="s">
        <v>93</v>
      </c>
      <c r="I28" s="8">
        <f t="shared" si="0"/>
        <v>254</v>
      </c>
      <c r="J28" s="8">
        <v>32</v>
      </c>
      <c r="K28" s="8">
        <v>87.6</v>
      </c>
      <c r="L28" s="8">
        <f t="shared" si="5"/>
        <v>12.400000000000006</v>
      </c>
      <c r="M28" s="8" t="str">
        <f t="shared" si="6"/>
        <v>Q1</v>
      </c>
      <c r="N28" s="20">
        <f>1216/271</f>
        <v>4.4870848708487081</v>
      </c>
      <c r="O28" s="84">
        <v>3.8400000000000001E-3</v>
      </c>
      <c r="Q28" s="2"/>
      <c r="R28" s="2"/>
      <c r="S28" s="2"/>
      <c r="T28" s="2"/>
    </row>
    <row r="29" spans="1:20" ht="16.5" customHeight="1">
      <c r="A29" s="19" t="s">
        <v>539</v>
      </c>
      <c r="B29" s="83">
        <f t="shared" si="4"/>
        <v>21</v>
      </c>
      <c r="C29" s="8" t="s">
        <v>67</v>
      </c>
      <c r="D29" s="8" t="s">
        <v>90</v>
      </c>
      <c r="E29" s="8" t="s">
        <v>140</v>
      </c>
      <c r="F29" s="8"/>
      <c r="G29" s="8" t="s">
        <v>141</v>
      </c>
      <c r="H29" s="8" t="s">
        <v>94</v>
      </c>
      <c r="I29" s="8">
        <f t="shared" si="0"/>
        <v>63</v>
      </c>
      <c r="J29" s="8">
        <v>3</v>
      </c>
      <c r="K29" s="8">
        <v>96</v>
      </c>
      <c r="L29" s="8">
        <f t="shared" si="5"/>
        <v>4</v>
      </c>
      <c r="M29" s="8" t="str">
        <f t="shared" si="6"/>
        <v>Q1</v>
      </c>
      <c r="N29" s="20">
        <f>5447/790</f>
        <v>6.8949367088607598</v>
      </c>
      <c r="O29" s="84">
        <v>2.4389999999999998E-2</v>
      </c>
      <c r="Q29" s="2"/>
      <c r="R29" s="2"/>
      <c r="S29" s="2"/>
      <c r="T29" s="2"/>
    </row>
    <row r="30" spans="1:20" ht="16.5" customHeight="1">
      <c r="A30" s="19" t="s">
        <v>539</v>
      </c>
      <c r="B30" s="83">
        <f t="shared" si="4"/>
        <v>22</v>
      </c>
      <c r="C30" s="8" t="s">
        <v>149</v>
      </c>
      <c r="D30" s="8" t="s">
        <v>90</v>
      </c>
      <c r="E30" s="8" t="s">
        <v>152</v>
      </c>
      <c r="F30" s="8"/>
      <c r="G30" s="8" t="s">
        <v>153</v>
      </c>
      <c r="H30" s="8" t="s">
        <v>93</v>
      </c>
      <c r="I30" s="8">
        <f t="shared" si="0"/>
        <v>254</v>
      </c>
      <c r="J30" s="8">
        <v>75</v>
      </c>
      <c r="K30" s="8">
        <v>70.7</v>
      </c>
      <c r="L30" s="8">
        <f t="shared" ref="L30" si="8">100-K30</f>
        <v>29.299999999999997</v>
      </c>
      <c r="M30" s="8" t="str">
        <f t="shared" ref="M30" si="9">IF(L30&lt;25,"Q1",IF(L30&lt;50,"Q2",IF(L30&lt;75,"Q3","Q4")))</f>
        <v>Q2</v>
      </c>
      <c r="N30" s="20">
        <f>1048/345</f>
        <v>3.0376811594202899</v>
      </c>
      <c r="O30" s="84">
        <v>6.5900000000000004E-3</v>
      </c>
      <c r="Q30" s="2"/>
      <c r="R30" s="2"/>
      <c r="S30" s="2"/>
      <c r="T30" s="2"/>
    </row>
    <row r="31" spans="1:20" ht="16.5" customHeight="1">
      <c r="A31" s="19" t="s">
        <v>539</v>
      </c>
      <c r="B31" s="83">
        <f t="shared" si="4"/>
        <v>23</v>
      </c>
      <c r="C31" s="8" t="s">
        <v>150</v>
      </c>
      <c r="D31" s="8" t="s">
        <v>90</v>
      </c>
      <c r="E31" s="8" t="s">
        <v>159</v>
      </c>
      <c r="F31" s="8"/>
      <c r="G31" s="8" t="s">
        <v>160</v>
      </c>
      <c r="H31" s="8" t="s">
        <v>94</v>
      </c>
      <c r="I31" s="8">
        <f t="shared" si="0"/>
        <v>63</v>
      </c>
      <c r="J31" s="8">
        <v>12</v>
      </c>
      <c r="K31" s="8">
        <v>81.7</v>
      </c>
      <c r="L31" s="8">
        <f t="shared" ref="L31:L32" si="10">100-K31</f>
        <v>18.299999999999997</v>
      </c>
      <c r="M31" s="8" t="str">
        <f t="shared" ref="M31:M32" si="11">IF(L31&lt;25,"Q1",IF(L31&lt;50,"Q2",IF(L31&lt;75,"Q3","Q4")))</f>
        <v>Q1</v>
      </c>
      <c r="N31" s="20">
        <f>1190/283</f>
        <v>4.2049469964664308</v>
      </c>
      <c r="O31" s="84">
        <v>6.13E-3</v>
      </c>
      <c r="Q31" s="2"/>
      <c r="R31" s="2"/>
      <c r="S31" s="2"/>
      <c r="T31" s="2"/>
    </row>
    <row r="32" spans="1:20" ht="16.5" customHeight="1">
      <c r="A32" s="19" t="s">
        <v>539</v>
      </c>
      <c r="B32" s="83">
        <f t="shared" si="4"/>
        <v>24</v>
      </c>
      <c r="C32" s="8" t="s">
        <v>151</v>
      </c>
      <c r="D32" s="8" t="s">
        <v>90</v>
      </c>
      <c r="E32" s="8" t="s">
        <v>162</v>
      </c>
      <c r="F32" s="8"/>
      <c r="G32" s="8" t="s">
        <v>163</v>
      </c>
      <c r="H32" s="8" t="s">
        <v>94</v>
      </c>
      <c r="I32" s="8">
        <f t="shared" si="0"/>
        <v>63</v>
      </c>
      <c r="J32" s="8">
        <v>2</v>
      </c>
      <c r="K32" s="8">
        <v>97.6</v>
      </c>
      <c r="L32" s="8">
        <f t="shared" si="10"/>
        <v>2.4000000000000057</v>
      </c>
      <c r="M32" s="8" t="str">
        <f t="shared" si="11"/>
        <v>Q1</v>
      </c>
      <c r="N32" s="20">
        <f>3997/570</f>
        <v>7.0122807017543858</v>
      </c>
      <c r="O32" s="84">
        <v>1.7149999999999999E-2</v>
      </c>
      <c r="Q32" s="2"/>
      <c r="R32" s="2"/>
      <c r="S32" s="2"/>
      <c r="T32" s="2"/>
    </row>
    <row r="33" spans="1:20" ht="16.5" customHeight="1">
      <c r="A33" s="19" t="s">
        <v>539</v>
      </c>
      <c r="B33" s="83">
        <f t="shared" si="4"/>
        <v>25</v>
      </c>
      <c r="C33" s="8" t="s">
        <v>380</v>
      </c>
      <c r="D33" s="8" t="s">
        <v>90</v>
      </c>
      <c r="E33" s="8" t="s">
        <v>422</v>
      </c>
      <c r="F33" s="8"/>
      <c r="G33" s="8" t="s">
        <v>423</v>
      </c>
      <c r="H33" s="8" t="s">
        <v>419</v>
      </c>
      <c r="I33" s="8">
        <f t="shared" si="0"/>
        <v>92</v>
      </c>
      <c r="J33" s="8">
        <v>1</v>
      </c>
      <c r="K33" s="8">
        <v>99.5</v>
      </c>
      <c r="L33" s="8">
        <f t="shared" ref="L33" si="12">100-K33</f>
        <v>0.5</v>
      </c>
      <c r="M33" s="8" t="str">
        <f t="shared" ref="M33" si="13">IF(L33&lt;25,"Q1",IF(L33&lt;50,"Q2",IF(L33&lt;75,"Q3","Q4")))</f>
        <v>Q1</v>
      </c>
      <c r="N33" s="20">
        <f>6526/601</f>
        <v>10.858569051580698</v>
      </c>
      <c r="O33" s="84">
        <v>2.7980000000000001E-2</v>
      </c>
      <c r="Q33" s="2"/>
      <c r="R33" s="2"/>
      <c r="S33" s="2"/>
      <c r="T33" s="2"/>
    </row>
    <row r="34" spans="1:20" ht="16.5" customHeight="1">
      <c r="A34" s="19" t="s">
        <v>539</v>
      </c>
      <c r="B34" s="83">
        <f t="shared" si="4"/>
        <v>26</v>
      </c>
      <c r="C34" s="8" t="s">
        <v>388</v>
      </c>
      <c r="D34" s="8" t="s">
        <v>90</v>
      </c>
      <c r="E34" s="8" t="s">
        <v>420</v>
      </c>
      <c r="F34" s="8"/>
      <c r="G34" s="8" t="s">
        <v>421</v>
      </c>
      <c r="H34" s="8" t="s">
        <v>418</v>
      </c>
      <c r="I34" s="8">
        <f t="shared" ref="I34:I44" si="14">INDEX($R$9:$T$20,MATCH($H34,$R$9:$R$20,0),2)</f>
        <v>92</v>
      </c>
      <c r="J34" s="8">
        <v>59</v>
      </c>
      <c r="K34" s="8">
        <v>36.4</v>
      </c>
      <c r="L34" s="8">
        <f t="shared" ref="L34:L35" si="15">100-K34</f>
        <v>63.6</v>
      </c>
      <c r="M34" s="8" t="str">
        <f t="shared" ref="M34" si="16">IF(L34&lt;25,"Q1",IF(L34&lt;50,"Q2",IF(L34&lt;75,"Q3","Q4")))</f>
        <v>Q3</v>
      </c>
      <c r="N34" s="20">
        <f>171/118</f>
        <v>1.4491525423728813</v>
      </c>
      <c r="O34" s="84">
        <v>7.1000000000000002E-4</v>
      </c>
      <c r="Q34" s="2"/>
      <c r="R34" s="2"/>
      <c r="S34" s="2"/>
      <c r="T34" s="2"/>
    </row>
    <row r="35" spans="1:20" ht="16.5" customHeight="1">
      <c r="A35" s="19" t="s">
        <v>539</v>
      </c>
      <c r="B35" s="83">
        <f t="shared" si="4"/>
        <v>27</v>
      </c>
      <c r="C35" s="8" t="s">
        <v>391</v>
      </c>
      <c r="D35" s="8" t="s">
        <v>90</v>
      </c>
      <c r="E35" s="8" t="s">
        <v>424</v>
      </c>
      <c r="F35" s="8"/>
      <c r="G35" s="8" t="s">
        <v>425</v>
      </c>
      <c r="H35" s="8" t="s">
        <v>426</v>
      </c>
      <c r="I35" s="8">
        <f t="shared" si="14"/>
        <v>183</v>
      </c>
      <c r="J35" s="8">
        <v>115</v>
      </c>
      <c r="K35" s="8">
        <v>37.4</v>
      </c>
      <c r="L35" s="8">
        <f t="shared" si="15"/>
        <v>62.6</v>
      </c>
      <c r="M35" s="8" t="str">
        <f t="shared" ref="M35" si="17">IF(L35&lt;25,"Q1",IF(L35&lt;50,"Q2",IF(L35&lt;75,"Q3","Q4")))</f>
        <v>Q3</v>
      </c>
      <c r="N35" s="20">
        <f>125/85</f>
        <v>1.4705882352941178</v>
      </c>
      <c r="O35" s="84">
        <v>5.2999999999999998E-4</v>
      </c>
      <c r="Q35" s="2"/>
      <c r="R35" s="2"/>
      <c r="S35" s="2"/>
      <c r="T35" s="2"/>
    </row>
    <row r="36" spans="1:20" ht="16.5" customHeight="1">
      <c r="A36" s="19" t="s">
        <v>539</v>
      </c>
      <c r="B36" s="83">
        <f t="shared" si="4"/>
        <v>28</v>
      </c>
      <c r="C36" s="8" t="s">
        <v>18</v>
      </c>
      <c r="D36" s="8" t="s">
        <v>90</v>
      </c>
      <c r="E36" s="8" t="s">
        <v>442</v>
      </c>
      <c r="F36" s="8"/>
      <c r="G36" s="8" t="s">
        <v>112</v>
      </c>
      <c r="H36" s="8" t="s">
        <v>113</v>
      </c>
      <c r="I36" s="8">
        <f t="shared" si="14"/>
        <v>92</v>
      </c>
      <c r="J36" s="8">
        <v>54</v>
      </c>
      <c r="K36" s="8">
        <v>41.8</v>
      </c>
      <c r="L36" s="8">
        <f>100-K36</f>
        <v>58.2</v>
      </c>
      <c r="M36" s="8" t="str">
        <f>IF(L36&lt;25,"Q1",IF(L36&lt;50,"Q2",IF(L36&lt;75,"Q3","Q4")))</f>
        <v>Q3</v>
      </c>
      <c r="N36" s="20">
        <f>2884/1926</f>
        <v>1.4974039460020769</v>
      </c>
      <c r="O36" s="84">
        <v>1.133E-2</v>
      </c>
      <c r="Q36" s="2"/>
      <c r="R36" s="2"/>
      <c r="S36" s="2"/>
      <c r="T36" s="2"/>
    </row>
    <row r="37" spans="1:20" ht="16.5" customHeight="1">
      <c r="A37" s="19" t="s">
        <v>539</v>
      </c>
      <c r="B37" s="83">
        <f t="shared" si="4"/>
        <v>29</v>
      </c>
      <c r="C37" s="8" t="s">
        <v>154</v>
      </c>
      <c r="D37" s="8" t="s">
        <v>90</v>
      </c>
      <c r="E37" s="8" t="s">
        <v>155</v>
      </c>
      <c r="F37" s="8"/>
      <c r="G37" s="8" t="s">
        <v>156</v>
      </c>
      <c r="H37" s="8" t="s">
        <v>158</v>
      </c>
      <c r="I37" s="8">
        <f t="shared" si="14"/>
        <v>50</v>
      </c>
      <c r="J37" s="8">
        <v>47</v>
      </c>
      <c r="K37" s="8">
        <v>7</v>
      </c>
      <c r="L37" s="8">
        <f>100-K37</f>
        <v>93</v>
      </c>
      <c r="M37" s="8" t="str">
        <f>IF(L37&lt;25,"Q1",IF(L37&lt;50,"Q2",IF(L37&lt;75,"Q3","Q4")))</f>
        <v>Q4</v>
      </c>
      <c r="N37" s="20">
        <f>3016/2718</f>
        <v>1.1096394407652685</v>
      </c>
      <c r="O37" s="84">
        <v>8.0700000000000008E-3</v>
      </c>
      <c r="Q37" s="2"/>
      <c r="R37" s="2"/>
      <c r="S37" s="2"/>
      <c r="T37" s="2"/>
    </row>
    <row r="38" spans="1:20" ht="16.5" customHeight="1">
      <c r="A38" s="19" t="s">
        <v>539</v>
      </c>
      <c r="B38" s="83">
        <f t="shared" si="4"/>
        <v>30</v>
      </c>
      <c r="C38" s="8" t="s">
        <v>447</v>
      </c>
      <c r="D38" s="8" t="s">
        <v>90</v>
      </c>
      <c r="E38" s="8" t="s">
        <v>535</v>
      </c>
      <c r="F38" s="8"/>
      <c r="G38" s="8" t="s">
        <v>536</v>
      </c>
      <c r="H38" s="8" t="s">
        <v>94</v>
      </c>
      <c r="I38" s="8">
        <f t="shared" si="14"/>
        <v>63</v>
      </c>
      <c r="J38" s="8">
        <v>26</v>
      </c>
      <c r="K38" s="8">
        <v>59.5</v>
      </c>
      <c r="L38" s="8">
        <f>100-K38</f>
        <v>40.5</v>
      </c>
      <c r="M38" s="8" t="str">
        <f>IF(L38&lt;25,"Q1",IF(L38&lt;50,"Q2",IF(L38&lt;75,"Q3","Q4")))</f>
        <v>Q2</v>
      </c>
      <c r="N38" s="20">
        <f>127/48</f>
        <v>2.6458333333333335</v>
      </c>
      <c r="O38" s="84">
        <v>4.8000000000000001E-4</v>
      </c>
      <c r="Q38" s="2"/>
      <c r="R38" s="2"/>
      <c r="S38" s="2"/>
      <c r="T38" s="2"/>
    </row>
    <row r="39" spans="1:20" ht="16.5" customHeight="1">
      <c r="A39" s="19"/>
      <c r="B39" s="83">
        <f t="shared" si="4"/>
        <v>31</v>
      </c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8"/>
      <c r="O39" s="99"/>
      <c r="Q39" s="2"/>
      <c r="R39" s="2"/>
      <c r="S39" s="2"/>
      <c r="T39" s="2"/>
    </row>
    <row r="40" spans="1:20" ht="16.5" customHeight="1">
      <c r="A40" s="19"/>
      <c r="B40" s="83">
        <f t="shared" si="4"/>
        <v>32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8"/>
      <c r="O40" s="99"/>
      <c r="Q40" s="2"/>
      <c r="R40" s="2"/>
      <c r="S40" s="2"/>
      <c r="T40" s="2"/>
    </row>
    <row r="41" spans="1:20" ht="16.5" customHeight="1">
      <c r="A41" s="19"/>
      <c r="B41" s="83">
        <f t="shared" si="4"/>
        <v>33</v>
      </c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8"/>
      <c r="O41" s="99"/>
      <c r="Q41" s="2"/>
      <c r="R41" s="2"/>
      <c r="S41" s="2"/>
      <c r="T41" s="2"/>
    </row>
    <row r="42" spans="1:20" ht="16.5" customHeight="1">
      <c r="A42" s="19"/>
      <c r="B42" s="83">
        <f t="shared" si="4"/>
        <v>34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8"/>
      <c r="O42" s="99"/>
      <c r="Q42" s="2"/>
      <c r="R42" s="2"/>
      <c r="S42" s="2"/>
      <c r="T42" s="2"/>
    </row>
    <row r="43" spans="1:20" ht="16.5" customHeight="1">
      <c r="A43" s="19"/>
      <c r="B43" s="83">
        <f t="shared" si="4"/>
        <v>35</v>
      </c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8"/>
      <c r="O43" s="99"/>
      <c r="Q43" s="2"/>
      <c r="R43" s="2"/>
      <c r="S43" s="2"/>
      <c r="T43" s="2"/>
    </row>
    <row r="44" spans="1:20" ht="16.5" customHeight="1" thickBot="1">
      <c r="A44" s="19" t="s">
        <v>539</v>
      </c>
      <c r="B44" s="85">
        <v>36</v>
      </c>
      <c r="C44" s="86"/>
      <c r="D44" s="86"/>
      <c r="E44" s="86"/>
      <c r="F44" s="86"/>
      <c r="G44" s="86"/>
      <c r="H44" s="86"/>
      <c r="I44" s="86" t="e">
        <f t="shared" si="14"/>
        <v>#N/A</v>
      </c>
      <c r="J44" s="86"/>
      <c r="K44" s="86"/>
      <c r="L44" s="86">
        <f>100-K44</f>
        <v>100</v>
      </c>
      <c r="M44" s="86" t="str">
        <f>IF(L44&lt;25,"Q1",IF(L44&lt;50,"Q2",IF(L44&lt;75,"Q3","Q4")))</f>
        <v>Q4</v>
      </c>
      <c r="N44" s="87"/>
      <c r="O44" s="88"/>
      <c r="Q44" s="2"/>
      <c r="R44" s="2"/>
      <c r="S44" s="2"/>
      <c r="T44" s="2"/>
    </row>
    <row r="45" spans="1:20" ht="16.5" customHeight="1" thickBot="1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Q45" s="2"/>
      <c r="R45" s="2"/>
      <c r="S45" s="2"/>
      <c r="T45" s="2"/>
    </row>
    <row r="46" spans="1:20" ht="16.5" customHeight="1">
      <c r="A46" s="5" t="s">
        <v>539</v>
      </c>
      <c r="B46" s="68">
        <v>1</v>
      </c>
      <c r="C46" s="69" t="s">
        <v>399</v>
      </c>
      <c r="D46" s="69" t="s">
        <v>558</v>
      </c>
      <c r="E46" s="69" t="s">
        <v>537</v>
      </c>
      <c r="F46" s="69"/>
      <c r="G46" s="69" t="s">
        <v>538</v>
      </c>
      <c r="H46" s="69"/>
      <c r="I46" s="70" t="e">
        <f>INDEX($R$9:$T$20,MATCH($H46,$R$9:$R$20,0),2)</f>
        <v>#N/A</v>
      </c>
      <c r="J46" s="70"/>
      <c r="K46" s="70"/>
      <c r="L46" s="70">
        <f>100-K46</f>
        <v>100</v>
      </c>
      <c r="M46" s="70" t="e">
        <f t="shared" ref="M46:M51" si="18">IF(L46&lt;25,"Q1",IF(L46&lt;50,"Q2",IF(L46&lt;75,"Q3","Q4")))*0</f>
        <v>#VALUE!</v>
      </c>
      <c r="N46" s="71"/>
      <c r="O46" s="72"/>
      <c r="Q46" s="2"/>
      <c r="R46" s="2"/>
      <c r="S46" s="2"/>
      <c r="T46" s="2"/>
    </row>
    <row r="47" spans="1:20" ht="16.5" customHeight="1">
      <c r="A47" s="5"/>
      <c r="B47" s="73">
        <v>2</v>
      </c>
      <c r="C47" s="50" t="s">
        <v>357</v>
      </c>
      <c r="D47" s="50" t="s">
        <v>358</v>
      </c>
      <c r="E47" s="50" t="s">
        <v>435</v>
      </c>
      <c r="F47" s="50"/>
      <c r="G47" s="50" t="s">
        <v>359</v>
      </c>
      <c r="H47" s="50"/>
      <c r="I47" s="8" t="e">
        <f>INDEX($R$9:$T$20,MATCH($H47,$R$9:$R$20,0),2)</f>
        <v>#N/A</v>
      </c>
      <c r="J47" s="8"/>
      <c r="K47" s="8"/>
      <c r="L47" s="8">
        <f>100-K47</f>
        <v>100</v>
      </c>
      <c r="M47" s="8" t="e">
        <f t="shared" si="18"/>
        <v>#VALUE!</v>
      </c>
      <c r="N47" s="20"/>
      <c r="O47" s="74"/>
      <c r="Q47" s="2"/>
      <c r="R47" s="2"/>
      <c r="S47" s="2"/>
      <c r="T47" s="2"/>
    </row>
    <row r="48" spans="1:20" ht="16.5" customHeight="1">
      <c r="A48" s="5"/>
      <c r="B48" s="73">
        <v>3</v>
      </c>
      <c r="C48" s="50" t="s">
        <v>436</v>
      </c>
      <c r="D48" s="50" t="s">
        <v>358</v>
      </c>
      <c r="E48" s="50" t="s">
        <v>437</v>
      </c>
      <c r="F48" s="50"/>
      <c r="G48" s="50"/>
      <c r="H48" s="50"/>
      <c r="I48" s="8" t="e">
        <f>INDEX($R$9:$T$20,MATCH($H48,$R$9:$R$20,0),2)</f>
        <v>#N/A</v>
      </c>
      <c r="J48" s="8"/>
      <c r="K48" s="8"/>
      <c r="L48" s="8">
        <f t="shared" ref="L48:L49" si="19">100-K48</f>
        <v>100</v>
      </c>
      <c r="M48" s="8" t="e">
        <f t="shared" si="18"/>
        <v>#VALUE!</v>
      </c>
      <c r="N48" s="20"/>
      <c r="O48" s="74"/>
      <c r="Q48" s="2"/>
      <c r="R48" s="2"/>
      <c r="S48" s="2"/>
      <c r="T48" s="2"/>
    </row>
    <row r="49" spans="1:20" ht="16.5" customHeight="1">
      <c r="A49" s="5"/>
      <c r="B49" s="73">
        <v>4</v>
      </c>
      <c r="C49" s="50" t="s">
        <v>438</v>
      </c>
      <c r="D49" s="50" t="s">
        <v>358</v>
      </c>
      <c r="E49" s="50" t="s">
        <v>439</v>
      </c>
      <c r="F49" s="50"/>
      <c r="G49" s="50" t="s">
        <v>360</v>
      </c>
      <c r="H49" s="50"/>
      <c r="I49" s="8" t="e">
        <f>INDEX($R$9:$T$20,MATCH($H49,$R$9:$R$20,0),2)</f>
        <v>#N/A</v>
      </c>
      <c r="J49" s="8"/>
      <c r="K49" s="8"/>
      <c r="L49" s="8">
        <f t="shared" si="19"/>
        <v>100</v>
      </c>
      <c r="M49" s="8" t="e">
        <f t="shared" si="18"/>
        <v>#VALUE!</v>
      </c>
      <c r="N49" s="20"/>
      <c r="O49" s="74"/>
      <c r="Q49" s="2"/>
      <c r="R49" s="2"/>
      <c r="S49" s="2"/>
      <c r="T49" s="2"/>
    </row>
    <row r="50" spans="1:20" ht="16.5" customHeight="1">
      <c r="A50" s="5"/>
      <c r="B50" s="73">
        <v>5</v>
      </c>
      <c r="C50" s="50" t="s">
        <v>362</v>
      </c>
      <c r="D50" s="50" t="s">
        <v>358</v>
      </c>
      <c r="E50" s="50" t="s">
        <v>363</v>
      </c>
      <c r="F50" s="50"/>
      <c r="G50" s="50" t="s">
        <v>364</v>
      </c>
      <c r="H50" s="50"/>
      <c r="I50" s="8" t="e">
        <f t="shared" ref="I50" si="20">INDEX($R$9:$T$20,MATCH($H50,$R$9:$R$20,0),2)</f>
        <v>#N/A</v>
      </c>
      <c r="J50" s="8"/>
      <c r="K50" s="8"/>
      <c r="L50" s="8">
        <f t="shared" ref="L50" si="21">100-K50</f>
        <v>100</v>
      </c>
      <c r="M50" s="8" t="e">
        <f t="shared" si="18"/>
        <v>#VALUE!</v>
      </c>
      <c r="N50" s="20"/>
      <c r="O50" s="74"/>
      <c r="Q50" s="2"/>
      <c r="R50" s="2"/>
      <c r="S50" s="2"/>
      <c r="T50" s="2"/>
    </row>
    <row r="51" spans="1:20" ht="16.5" customHeight="1" thickBot="1">
      <c r="A51" s="5"/>
      <c r="B51" s="75">
        <v>6</v>
      </c>
      <c r="C51" s="76" t="s">
        <v>440</v>
      </c>
      <c r="D51" s="76" t="s">
        <v>358</v>
      </c>
      <c r="E51" s="76" t="s">
        <v>441</v>
      </c>
      <c r="F51" s="76"/>
      <c r="G51" s="76" t="s">
        <v>361</v>
      </c>
      <c r="H51" s="76"/>
      <c r="I51" s="77" t="e">
        <f>INDEX($R$9:$T$20,MATCH($H51,$R$9:$R$20,0),2)</f>
        <v>#N/A</v>
      </c>
      <c r="J51" s="77"/>
      <c r="K51" s="77"/>
      <c r="L51" s="77">
        <f>100-K51</f>
        <v>100</v>
      </c>
      <c r="M51" s="77" t="e">
        <f t="shared" si="18"/>
        <v>#VALUE!</v>
      </c>
      <c r="N51" s="78"/>
      <c r="O51" s="79"/>
      <c r="Q51" s="2"/>
      <c r="R51" s="2"/>
      <c r="S51" s="2"/>
      <c r="T51" s="2"/>
    </row>
    <row r="52" spans="1:20" ht="16.5" customHeight="1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Q52" s="2"/>
      <c r="R52" s="2"/>
      <c r="S52" s="2"/>
      <c r="T52" s="2"/>
    </row>
    <row r="53" spans="1:20" ht="16.5" customHeight="1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Q53" s="2"/>
      <c r="R53" s="2"/>
      <c r="S53" s="2"/>
      <c r="T53" s="2"/>
    </row>
    <row r="54" spans="1:20" ht="16.5" customHeight="1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Q54" s="2"/>
      <c r="R54" s="2"/>
      <c r="S54" s="2"/>
      <c r="T54" s="2"/>
    </row>
    <row r="55" spans="1:20" ht="16.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Q55" s="2"/>
      <c r="R55" s="2"/>
      <c r="S55" s="2"/>
      <c r="T55" s="2"/>
    </row>
    <row r="56" spans="1:20" ht="16.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Q56" s="2"/>
      <c r="R56" s="2"/>
      <c r="S56" s="2"/>
      <c r="T56" s="2"/>
    </row>
    <row r="57" spans="1:20" ht="16.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Q57" s="2"/>
      <c r="R57" s="2"/>
      <c r="S57" s="2"/>
      <c r="T57" s="2"/>
    </row>
    <row r="58" spans="1:20" ht="16.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Q58" s="2"/>
      <c r="R58" s="2"/>
      <c r="S58" s="2"/>
      <c r="T58" s="2"/>
    </row>
    <row r="59" spans="1:20" ht="16.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Q59" s="2"/>
      <c r="R59" s="2"/>
      <c r="S59" s="2"/>
      <c r="T59" s="2"/>
    </row>
    <row r="60" spans="1:20" ht="16.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Q60" s="2"/>
      <c r="R60" s="2"/>
      <c r="S60" s="2"/>
      <c r="T60" s="2"/>
    </row>
    <row r="61" spans="1:20" ht="16.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Q61" s="2"/>
      <c r="R61" s="2"/>
      <c r="S61" s="2"/>
      <c r="T61" s="2"/>
    </row>
    <row r="62" spans="1:20" ht="16.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Q62" s="2"/>
      <c r="R62" s="2"/>
      <c r="S62" s="2"/>
      <c r="T62" s="2"/>
    </row>
    <row r="63" spans="1:20" ht="16.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Q63" s="2"/>
      <c r="R63" s="2"/>
      <c r="S63" s="2"/>
      <c r="T63" s="2"/>
    </row>
    <row r="64" spans="1:20" ht="16.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Q64" s="2"/>
      <c r="R64" s="2"/>
      <c r="S64" s="2"/>
      <c r="T64" s="2"/>
    </row>
    <row r="65" spans="2:20" ht="16.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Q65" s="2"/>
      <c r="R65" s="2"/>
      <c r="S65" s="2"/>
      <c r="T65" s="2"/>
    </row>
    <row r="66" spans="2:20" ht="16.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  <c r="R66" s="2"/>
      <c r="S66" s="2"/>
      <c r="T66" s="2"/>
    </row>
    <row r="67" spans="2:20" ht="16.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Q67" s="2"/>
      <c r="R67" s="2"/>
      <c r="S67" s="2"/>
      <c r="T67" s="2"/>
    </row>
    <row r="68" spans="2:20" ht="16.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Q68" s="2"/>
      <c r="R68" s="2"/>
      <c r="S68" s="2"/>
      <c r="T68" s="2"/>
    </row>
    <row r="69" spans="2:20" ht="16.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Q69" s="2"/>
      <c r="R69" s="2"/>
      <c r="S69" s="2"/>
      <c r="T69" s="2"/>
    </row>
    <row r="70" spans="2:20" ht="16.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Q70" s="2"/>
      <c r="R70" s="2"/>
      <c r="S70" s="2"/>
      <c r="T70" s="2"/>
    </row>
    <row r="71" spans="2:20" ht="16.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Q71" s="2"/>
      <c r="R71" s="2"/>
      <c r="S71" s="2"/>
      <c r="T71" s="2"/>
    </row>
    <row r="72" spans="2:20" ht="16.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Q72" s="2"/>
      <c r="R72" s="2"/>
      <c r="S72" s="2"/>
      <c r="T72" s="2"/>
    </row>
    <row r="73" spans="2:20" ht="16.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Q73" s="2"/>
      <c r="R73" s="2"/>
      <c r="S73" s="2"/>
      <c r="T73" s="2"/>
    </row>
    <row r="74" spans="2:20" ht="16.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Q74" s="2"/>
      <c r="R74" s="2"/>
      <c r="S74" s="2"/>
      <c r="T74" s="2"/>
    </row>
    <row r="75" spans="2:20" ht="16.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Q75" s="2"/>
      <c r="R75" s="2"/>
      <c r="S75" s="2"/>
      <c r="T75" s="2"/>
    </row>
    <row r="76" spans="2:20" ht="16.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Q76" s="2"/>
      <c r="R76" s="2"/>
      <c r="S76" s="2"/>
      <c r="T76" s="2"/>
    </row>
    <row r="77" spans="2:20" ht="16.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Q77" s="2"/>
      <c r="R77" s="2"/>
      <c r="S77" s="2"/>
      <c r="T77" s="2"/>
    </row>
    <row r="78" spans="2:20" ht="16.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Q78" s="2"/>
      <c r="R78" s="2"/>
      <c r="S78" s="2"/>
      <c r="T78" s="2"/>
    </row>
    <row r="79" spans="2:20" ht="16.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Q79" s="2"/>
      <c r="R79" s="2"/>
      <c r="S79" s="2"/>
      <c r="T79" s="2"/>
    </row>
    <row r="80" spans="2:20" ht="16.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Q80" s="2"/>
      <c r="R80" s="2"/>
      <c r="S80" s="2"/>
      <c r="T80" s="2"/>
    </row>
    <row r="81" spans="2:20" ht="16.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Q81" s="2"/>
      <c r="R81" s="2"/>
      <c r="S81" s="2"/>
      <c r="T81" s="2"/>
    </row>
    <row r="82" spans="2:20" ht="16.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Q82" s="2"/>
      <c r="R82" s="2"/>
      <c r="S82" s="2"/>
      <c r="T82" s="2"/>
    </row>
    <row r="83" spans="2:20" ht="16.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Q83" s="2"/>
      <c r="R83" s="2"/>
      <c r="S83" s="2"/>
      <c r="T83" s="2"/>
    </row>
    <row r="84" spans="2:20" ht="16.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Q84" s="2"/>
      <c r="R84" s="2"/>
      <c r="S84" s="2"/>
      <c r="T84" s="2"/>
    </row>
    <row r="85" spans="2:20" ht="16.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Q85" s="2"/>
      <c r="R85" s="2"/>
      <c r="S85" s="2"/>
      <c r="T85" s="2"/>
    </row>
    <row r="86" spans="2:20" ht="16.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Q86" s="2"/>
      <c r="R86" s="2"/>
      <c r="S86" s="2"/>
      <c r="T86" s="2"/>
    </row>
    <row r="87" spans="2:20" ht="16.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Q87" s="2"/>
      <c r="R87" s="2"/>
      <c r="S87" s="2"/>
      <c r="T87" s="2"/>
    </row>
    <row r="88" spans="2:20" ht="16.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Q88" s="2"/>
      <c r="R88" s="2"/>
      <c r="S88" s="2"/>
      <c r="T88" s="2"/>
    </row>
    <row r="89" spans="2:20" ht="16.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Q89" s="2"/>
      <c r="R89" s="2"/>
      <c r="S89" s="2"/>
      <c r="T89" s="2"/>
    </row>
    <row r="90" spans="2:20" ht="16.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Q90" s="2"/>
      <c r="R90" s="2"/>
      <c r="S90" s="2"/>
      <c r="T90" s="2"/>
    </row>
    <row r="91" spans="2:20" ht="16.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Q91" s="2"/>
      <c r="R91" s="2"/>
      <c r="S91" s="2"/>
      <c r="T91" s="2"/>
    </row>
    <row r="92" spans="2:20" ht="16.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Q92" s="2"/>
      <c r="R92" s="2"/>
      <c r="S92" s="2"/>
      <c r="T92" s="2"/>
    </row>
    <row r="93" spans="2:20" ht="16.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Q93" s="2"/>
      <c r="R93" s="2"/>
      <c r="S93" s="2"/>
      <c r="T93" s="2"/>
    </row>
    <row r="94" spans="2:20" ht="16.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Q94" s="2"/>
      <c r="R94" s="2"/>
      <c r="S94" s="2"/>
      <c r="T94" s="2"/>
    </row>
    <row r="95" spans="2:20" ht="16.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Q95" s="2"/>
      <c r="R95" s="2"/>
      <c r="S95" s="2"/>
      <c r="T95" s="2"/>
    </row>
    <row r="96" spans="2:20" ht="16.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Q96" s="2"/>
      <c r="R96" s="2"/>
      <c r="S96" s="2"/>
      <c r="T96" s="2"/>
    </row>
    <row r="97" spans="2:20" ht="16.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Q97" s="2"/>
      <c r="R97" s="2"/>
      <c r="S97" s="2"/>
      <c r="T97" s="2"/>
    </row>
    <row r="98" spans="2:20" ht="16.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Q98" s="2"/>
      <c r="R98" s="2"/>
      <c r="S98" s="2"/>
      <c r="T98" s="2"/>
    </row>
    <row r="99" spans="2:20" ht="16.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Q99" s="2"/>
      <c r="R99" s="2"/>
      <c r="S99" s="2"/>
      <c r="T99" s="2"/>
    </row>
    <row r="100" spans="2:20" ht="16.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Q100" s="2"/>
      <c r="R100" s="2"/>
      <c r="S100" s="2"/>
      <c r="T100" s="2"/>
    </row>
    <row r="101" spans="2:20" ht="16.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Q101" s="2"/>
      <c r="R101" s="2"/>
      <c r="S101" s="2"/>
      <c r="T101" s="2"/>
    </row>
    <row r="102" spans="2:20" ht="16.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Q102" s="2"/>
      <c r="R102" s="2"/>
      <c r="S102" s="2"/>
      <c r="T102" s="2"/>
    </row>
    <row r="103" spans="2:20" ht="16.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Q103" s="2"/>
      <c r="R103" s="2"/>
      <c r="S103" s="2"/>
      <c r="T103" s="2"/>
    </row>
    <row r="104" spans="2:20" ht="16.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Q104" s="2"/>
      <c r="R104" s="2"/>
      <c r="S104" s="2"/>
      <c r="T104" s="2"/>
    </row>
    <row r="105" spans="2:20" ht="16.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Q105" s="2"/>
      <c r="R105" s="2"/>
      <c r="S105" s="2"/>
      <c r="T105" s="2"/>
    </row>
    <row r="106" spans="2:20" ht="16.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Q106" s="2"/>
      <c r="R106" s="2"/>
      <c r="S106" s="2"/>
      <c r="T106" s="2"/>
    </row>
    <row r="107" spans="2:20" ht="16.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Q107" s="2"/>
      <c r="R107" s="2"/>
      <c r="S107" s="2"/>
      <c r="T107" s="2"/>
    </row>
    <row r="108" spans="2:20" ht="16.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Q108" s="2"/>
      <c r="R108" s="2"/>
      <c r="S108" s="2"/>
      <c r="T108" s="2"/>
    </row>
    <row r="109" spans="2:20" ht="16.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Q109" s="2"/>
      <c r="R109" s="2"/>
      <c r="S109" s="2"/>
      <c r="T109" s="2"/>
    </row>
    <row r="110" spans="2:20" ht="16.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Q110" s="2"/>
      <c r="R110" s="2"/>
      <c r="S110" s="2"/>
      <c r="T110" s="2"/>
    </row>
    <row r="111" spans="2:20" ht="16.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Q111" s="2"/>
      <c r="R111" s="2"/>
      <c r="S111" s="2"/>
      <c r="T111" s="2"/>
    </row>
    <row r="112" spans="2:20" ht="16.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Q112" s="2"/>
      <c r="R112" s="2"/>
      <c r="S112" s="2"/>
      <c r="T112" s="2"/>
    </row>
    <row r="113" spans="2:20" ht="16.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Q113" s="2"/>
      <c r="R113" s="2"/>
      <c r="S113" s="2"/>
      <c r="T113" s="2"/>
    </row>
    <row r="114" spans="2:20" ht="16.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Q114" s="2"/>
      <c r="R114" s="2"/>
      <c r="S114" s="2"/>
      <c r="T114" s="2"/>
    </row>
    <row r="115" spans="2:20" ht="16.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Q115" s="2"/>
      <c r="R115" s="2"/>
      <c r="S115" s="2"/>
      <c r="T115" s="2"/>
    </row>
    <row r="116" spans="2:20" ht="16.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Q116" s="2"/>
      <c r="R116" s="2"/>
      <c r="S116" s="2"/>
      <c r="T116" s="2"/>
    </row>
    <row r="117" spans="2:20" ht="16.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Q117" s="2"/>
      <c r="R117" s="2"/>
      <c r="S117" s="2"/>
      <c r="T117" s="2"/>
    </row>
    <row r="118" spans="2:20" ht="16.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Q118" s="2"/>
      <c r="R118" s="2"/>
      <c r="S118" s="2"/>
      <c r="T118" s="2"/>
    </row>
    <row r="119" spans="2:20" ht="16.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Q119" s="2"/>
      <c r="R119" s="2"/>
      <c r="S119" s="2"/>
      <c r="T119" s="2"/>
    </row>
    <row r="120" spans="2:20" ht="16.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Q120" s="2"/>
      <c r="R120" s="2"/>
      <c r="S120" s="2"/>
      <c r="T120" s="2"/>
    </row>
    <row r="121" spans="2:20" ht="16.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Q121" s="2"/>
      <c r="R121" s="2"/>
      <c r="S121" s="2"/>
      <c r="T121" s="2"/>
    </row>
    <row r="122" spans="2:20" ht="16.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Q122" s="2"/>
      <c r="R122" s="2"/>
      <c r="S122" s="2"/>
      <c r="T122" s="2"/>
    </row>
    <row r="123" spans="2:20" ht="16.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Q123" s="2"/>
      <c r="R123" s="2"/>
      <c r="S123" s="2"/>
      <c r="T123" s="2"/>
    </row>
    <row r="124" spans="2:20" ht="16.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Q124" s="2"/>
      <c r="R124" s="2"/>
      <c r="S124" s="2"/>
      <c r="T124" s="2"/>
    </row>
    <row r="125" spans="2:20" ht="16.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Q125" s="2"/>
      <c r="R125" s="2"/>
      <c r="S125" s="2"/>
      <c r="T125" s="2"/>
    </row>
    <row r="126" spans="2:20" ht="16.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Q126" s="2"/>
      <c r="R126" s="2"/>
      <c r="S126" s="2"/>
      <c r="T126" s="2"/>
    </row>
    <row r="127" spans="2:20" ht="16.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Q127" s="2"/>
      <c r="R127" s="2"/>
      <c r="S127" s="2"/>
      <c r="T127" s="2"/>
    </row>
    <row r="128" spans="2:20" ht="16.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Q128" s="2"/>
      <c r="R128" s="2"/>
      <c r="S128" s="2"/>
      <c r="T128" s="2"/>
    </row>
    <row r="129" spans="2:20" ht="16.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Q129" s="2"/>
      <c r="R129" s="2"/>
      <c r="S129" s="2"/>
      <c r="T129" s="2"/>
    </row>
    <row r="130" spans="2:20" ht="16.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Q130" s="2"/>
      <c r="R130" s="2"/>
      <c r="S130" s="2"/>
      <c r="T130" s="2"/>
    </row>
    <row r="131" spans="2:20" ht="16.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Q131" s="2"/>
      <c r="R131" s="2"/>
      <c r="S131" s="2"/>
      <c r="T131" s="2"/>
    </row>
    <row r="132" spans="2:20" ht="16.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Q132" s="2"/>
      <c r="R132" s="2"/>
      <c r="S132" s="2"/>
      <c r="T132" s="2"/>
    </row>
    <row r="133" spans="2:20" ht="16.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Q133" s="2"/>
      <c r="R133" s="2"/>
      <c r="S133" s="2"/>
      <c r="T133" s="2"/>
    </row>
    <row r="134" spans="2:20" ht="16.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Q134" s="2"/>
      <c r="R134" s="2"/>
      <c r="S134" s="2"/>
      <c r="T134" s="2"/>
    </row>
    <row r="135" spans="2:20" ht="16.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Q135" s="2"/>
      <c r="R135" s="2"/>
      <c r="S135" s="2"/>
      <c r="T135" s="2"/>
    </row>
    <row r="136" spans="2:20" ht="16.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Q136" s="2"/>
      <c r="R136" s="2"/>
      <c r="S136" s="2"/>
      <c r="T136" s="2"/>
    </row>
    <row r="137" spans="2:20" ht="16.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Q137" s="2"/>
      <c r="R137" s="2"/>
      <c r="S137" s="2"/>
      <c r="T137" s="2"/>
    </row>
    <row r="138" spans="2:20" ht="16.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Q138" s="2"/>
      <c r="R138" s="2"/>
      <c r="S138" s="2"/>
      <c r="T138" s="2"/>
    </row>
    <row r="139" spans="2:20" ht="16.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Q139" s="2"/>
      <c r="R139" s="2"/>
      <c r="S139" s="2"/>
      <c r="T139" s="2"/>
    </row>
    <row r="140" spans="2:20" ht="16.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Q140" s="2"/>
      <c r="R140" s="2"/>
      <c r="S140" s="2"/>
      <c r="T140" s="2"/>
    </row>
    <row r="141" spans="2:20" ht="16.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Q141" s="2"/>
      <c r="R141" s="2"/>
      <c r="S141" s="2"/>
      <c r="T141" s="2"/>
    </row>
    <row r="142" spans="2:20" ht="16.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Q142" s="2"/>
      <c r="R142" s="2"/>
      <c r="S142" s="2"/>
      <c r="T142" s="2"/>
    </row>
    <row r="143" spans="2:20" ht="16.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Q143" s="2"/>
      <c r="R143" s="2"/>
      <c r="S143" s="2"/>
      <c r="T143" s="2"/>
    </row>
    <row r="144" spans="2:20" ht="16.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Q144" s="2"/>
      <c r="R144" s="2"/>
      <c r="S144" s="2"/>
      <c r="T144" s="2"/>
    </row>
    <row r="145" spans="2:20" ht="16.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Q145" s="2"/>
      <c r="R145" s="2"/>
      <c r="S145" s="2"/>
      <c r="T145" s="2"/>
    </row>
    <row r="146" spans="2:20" ht="16.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Q146" s="2"/>
      <c r="R146" s="2"/>
      <c r="S146" s="2"/>
      <c r="T146" s="2"/>
    </row>
    <row r="147" spans="2:20" ht="16.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Q147" s="2"/>
      <c r="R147" s="2"/>
      <c r="S147" s="2"/>
      <c r="T147" s="2"/>
    </row>
    <row r="148" spans="2:20" ht="16.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Q148" s="2"/>
      <c r="R148" s="2"/>
      <c r="S148" s="2"/>
      <c r="T148" s="2"/>
    </row>
    <row r="149" spans="2:20" ht="16.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Q149" s="2"/>
      <c r="R149" s="2"/>
      <c r="S149" s="2"/>
      <c r="T149" s="2"/>
    </row>
    <row r="150" spans="2:20" ht="16.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Q150" s="2"/>
      <c r="R150" s="2"/>
      <c r="S150" s="2"/>
      <c r="T150" s="2"/>
    </row>
    <row r="151" spans="2:20" ht="16.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Q151" s="2"/>
      <c r="R151" s="2"/>
      <c r="S151" s="2"/>
      <c r="T151" s="2"/>
    </row>
    <row r="152" spans="2:20" ht="16.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Q152" s="2"/>
      <c r="R152" s="2"/>
      <c r="S152" s="2"/>
      <c r="T152" s="2"/>
    </row>
    <row r="153" spans="2:20" ht="16.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Q153" s="2"/>
      <c r="R153" s="2"/>
      <c r="S153" s="2"/>
      <c r="T153" s="2"/>
    </row>
    <row r="154" spans="2:20" ht="16.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Q154" s="2"/>
      <c r="R154" s="2"/>
      <c r="S154" s="2"/>
      <c r="T154" s="2"/>
    </row>
    <row r="155" spans="2:20" ht="16.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Q155" s="2"/>
      <c r="R155" s="2"/>
      <c r="S155" s="2"/>
      <c r="T155" s="2"/>
    </row>
    <row r="156" spans="2:20" ht="16.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Q156" s="2"/>
      <c r="R156" s="2"/>
      <c r="S156" s="2"/>
      <c r="T156" s="2"/>
    </row>
    <row r="157" spans="2:20" ht="16.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Q157" s="2"/>
      <c r="R157" s="2"/>
      <c r="S157" s="2"/>
      <c r="T157" s="2"/>
    </row>
    <row r="158" spans="2:20" ht="16.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Q158" s="2"/>
      <c r="R158" s="2"/>
      <c r="S158" s="2"/>
      <c r="T158" s="2"/>
    </row>
    <row r="159" spans="2:20" ht="16.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Q159" s="2"/>
      <c r="R159" s="2"/>
      <c r="S159" s="2"/>
      <c r="T159" s="2"/>
    </row>
    <row r="160" spans="2:20" ht="16.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Q160" s="2"/>
      <c r="R160" s="2"/>
      <c r="S160" s="2"/>
      <c r="T160" s="2"/>
    </row>
    <row r="161" spans="2:20" ht="16.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Q161" s="2"/>
      <c r="R161" s="2"/>
      <c r="S161" s="2"/>
      <c r="T161" s="2"/>
    </row>
    <row r="162" spans="2:20" ht="16.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Q162" s="2"/>
      <c r="R162" s="2"/>
      <c r="S162" s="2"/>
      <c r="T162" s="2"/>
    </row>
    <row r="163" spans="2:20" ht="16.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Q163" s="2"/>
      <c r="R163" s="2"/>
      <c r="S163" s="2"/>
      <c r="T163" s="2"/>
    </row>
    <row r="164" spans="2:20" ht="16.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Q164" s="2"/>
      <c r="R164" s="2"/>
      <c r="S164" s="2"/>
      <c r="T164" s="2"/>
    </row>
    <row r="165" spans="2:20" ht="16.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Q165" s="2"/>
      <c r="R165" s="2"/>
      <c r="S165" s="2"/>
      <c r="T165" s="2"/>
    </row>
    <row r="166" spans="2:20" ht="16.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Q166" s="2"/>
      <c r="R166" s="2"/>
      <c r="S166" s="2"/>
      <c r="T166" s="2"/>
    </row>
    <row r="167" spans="2:20" ht="16.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Q167" s="2"/>
      <c r="R167" s="2"/>
      <c r="S167" s="2"/>
      <c r="T167" s="2"/>
    </row>
    <row r="168" spans="2:20" ht="16.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Q168" s="2"/>
      <c r="R168" s="2"/>
      <c r="S168" s="2"/>
      <c r="T168" s="2"/>
    </row>
    <row r="169" spans="2:20" ht="16.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Q169" s="2"/>
      <c r="R169" s="2"/>
      <c r="S169" s="2"/>
      <c r="T169" s="2"/>
    </row>
    <row r="170" spans="2:20" ht="16.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Q170" s="2"/>
      <c r="R170" s="2"/>
      <c r="S170" s="2"/>
      <c r="T170" s="2"/>
    </row>
    <row r="171" spans="2:20" ht="16.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Q171" s="2"/>
      <c r="R171" s="2"/>
      <c r="S171" s="2"/>
      <c r="T171" s="2"/>
    </row>
    <row r="172" spans="2:20" ht="16.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Q172" s="2"/>
      <c r="R172" s="2"/>
      <c r="S172" s="2"/>
      <c r="T172" s="2"/>
    </row>
    <row r="173" spans="2:20" ht="16.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Q173" s="2"/>
      <c r="R173" s="2"/>
      <c r="S173" s="2"/>
      <c r="T173" s="2"/>
    </row>
    <row r="174" spans="2:20" ht="16.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Q174" s="2"/>
      <c r="R174" s="2"/>
      <c r="S174" s="2"/>
      <c r="T174" s="2"/>
    </row>
    <row r="175" spans="2:20" ht="16.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Q175" s="2"/>
      <c r="R175" s="2"/>
      <c r="S175" s="2"/>
      <c r="T175" s="2"/>
    </row>
    <row r="176" spans="2:20" ht="16.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Q176" s="2"/>
      <c r="R176" s="2"/>
      <c r="S176" s="2"/>
      <c r="T176" s="2"/>
    </row>
    <row r="177" spans="2:20" ht="16.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Q177" s="2"/>
      <c r="R177" s="2"/>
      <c r="S177" s="2"/>
      <c r="T177" s="2"/>
    </row>
    <row r="178" spans="2:20" ht="16.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Q178" s="2"/>
      <c r="R178" s="2"/>
      <c r="S178" s="2"/>
      <c r="T178" s="2"/>
    </row>
    <row r="179" spans="2:20" ht="16.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Q179" s="2"/>
      <c r="R179" s="2"/>
      <c r="S179" s="2"/>
      <c r="T179" s="2"/>
    </row>
    <row r="180" spans="2:20" ht="16.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Q180" s="2"/>
      <c r="R180" s="2"/>
      <c r="S180" s="2"/>
      <c r="T180" s="2"/>
    </row>
    <row r="181" spans="2:20" ht="16.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Q181" s="2"/>
      <c r="R181" s="2"/>
      <c r="S181" s="2"/>
      <c r="T181" s="2"/>
    </row>
    <row r="182" spans="2:20" ht="16.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Q182" s="2"/>
      <c r="R182" s="2"/>
      <c r="S182" s="2"/>
      <c r="T182" s="2"/>
    </row>
    <row r="183" spans="2:20" ht="16.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Q183" s="2"/>
      <c r="R183" s="2"/>
      <c r="S183" s="2"/>
      <c r="T183" s="2"/>
    </row>
    <row r="184" spans="2:20" ht="16.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Q184" s="2"/>
      <c r="R184" s="2"/>
      <c r="S184" s="2"/>
      <c r="T184" s="2"/>
    </row>
    <row r="185" spans="2:20" ht="16.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Q185" s="2"/>
      <c r="R185" s="2"/>
      <c r="S185" s="2"/>
      <c r="T185" s="2"/>
    </row>
    <row r="186" spans="2:20" ht="16.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Q186" s="2"/>
      <c r="R186" s="2"/>
      <c r="S186" s="2"/>
      <c r="T186" s="2"/>
    </row>
    <row r="187" spans="2:20" ht="16.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Q187" s="2"/>
      <c r="R187" s="2"/>
      <c r="S187" s="2"/>
      <c r="T187" s="2"/>
    </row>
    <row r="188" spans="2:20" ht="16.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Q188" s="2"/>
      <c r="R188" s="2"/>
      <c r="S188" s="2"/>
      <c r="T188" s="2"/>
    </row>
    <row r="189" spans="2:20" ht="16.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Q189" s="2"/>
      <c r="R189" s="2"/>
      <c r="S189" s="2"/>
      <c r="T189" s="2"/>
    </row>
    <row r="190" spans="2:20" ht="16.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Q190" s="2"/>
      <c r="R190" s="2"/>
      <c r="S190" s="2"/>
      <c r="T190" s="2"/>
    </row>
    <row r="191" spans="2:20" ht="16.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Q191" s="2"/>
      <c r="R191" s="2"/>
      <c r="S191" s="2"/>
      <c r="T191" s="2"/>
    </row>
    <row r="192" spans="2:20" ht="16.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Q192" s="2"/>
      <c r="R192" s="2"/>
      <c r="S192" s="2"/>
      <c r="T192" s="2"/>
    </row>
    <row r="193" spans="2:20" ht="16.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Q193" s="2"/>
      <c r="R193" s="2"/>
      <c r="S193" s="2"/>
      <c r="T193" s="2"/>
    </row>
    <row r="194" spans="2:20" ht="16.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Q194" s="2"/>
      <c r="R194" s="2"/>
      <c r="S194" s="2"/>
      <c r="T194" s="2"/>
    </row>
    <row r="195" spans="2:20" ht="16.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Q195" s="2"/>
      <c r="R195" s="2"/>
      <c r="S195" s="2"/>
      <c r="T195" s="2"/>
    </row>
    <row r="196" spans="2:20" ht="16.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Q196" s="2"/>
      <c r="R196" s="2"/>
      <c r="S196" s="2"/>
      <c r="T196" s="2"/>
    </row>
    <row r="197" spans="2:20" ht="16.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Q197" s="2"/>
      <c r="R197" s="2"/>
      <c r="S197" s="2"/>
      <c r="T197" s="2"/>
    </row>
    <row r="198" spans="2:20" ht="16.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Q198" s="2"/>
      <c r="R198" s="2"/>
      <c r="S198" s="2"/>
      <c r="T198" s="2"/>
    </row>
    <row r="199" spans="2:20" ht="16.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Q199" s="2"/>
      <c r="R199" s="2"/>
      <c r="S199" s="2"/>
      <c r="T199" s="2"/>
    </row>
    <row r="200" spans="2:20" ht="16.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Q200" s="2"/>
      <c r="R200" s="2"/>
      <c r="S200" s="2"/>
      <c r="T200" s="2"/>
    </row>
    <row r="201" spans="2:20" ht="16.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Q201" s="2"/>
      <c r="R201" s="2"/>
      <c r="S201" s="2"/>
      <c r="T201" s="2"/>
    </row>
    <row r="202" spans="2:20" ht="16.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Q202" s="2"/>
      <c r="R202" s="2"/>
      <c r="S202" s="2"/>
      <c r="T202" s="2"/>
    </row>
    <row r="203" spans="2:20" ht="16.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Q203" s="2"/>
      <c r="R203" s="2"/>
      <c r="S203" s="2"/>
      <c r="T203" s="2"/>
    </row>
    <row r="204" spans="2:20" ht="16.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Q204" s="2"/>
      <c r="R204" s="2"/>
      <c r="S204" s="2"/>
      <c r="T204" s="2"/>
    </row>
    <row r="205" spans="2:20" ht="16.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Q205" s="2"/>
      <c r="R205" s="2"/>
      <c r="S205" s="2"/>
      <c r="T205" s="2"/>
    </row>
    <row r="206" spans="2:20" ht="16.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Q206" s="2"/>
      <c r="R206" s="2"/>
      <c r="S206" s="2"/>
      <c r="T206" s="2"/>
    </row>
    <row r="207" spans="2:20" ht="16.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Q207" s="2"/>
      <c r="R207" s="2"/>
      <c r="S207" s="2"/>
      <c r="T207" s="2"/>
    </row>
    <row r="208" spans="2:20" ht="16.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Q208" s="2"/>
      <c r="R208" s="2"/>
      <c r="S208" s="2"/>
      <c r="T208" s="2"/>
    </row>
    <row r="209" spans="2:20" ht="16.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Q209" s="2"/>
      <c r="R209" s="2"/>
      <c r="S209" s="2"/>
      <c r="T209" s="2"/>
    </row>
    <row r="210" spans="2:20" ht="16.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Q210" s="2"/>
      <c r="R210" s="2"/>
      <c r="S210" s="2"/>
      <c r="T210" s="2"/>
    </row>
    <row r="211" spans="2:20" ht="16.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Q211" s="2"/>
      <c r="R211" s="2"/>
      <c r="S211" s="2"/>
      <c r="T211" s="2"/>
    </row>
    <row r="212" spans="2:20" ht="16.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Q212" s="2"/>
      <c r="R212" s="2"/>
      <c r="S212" s="2"/>
      <c r="T212" s="2"/>
    </row>
    <row r="213" spans="2:20" ht="16.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Q213" s="2"/>
      <c r="R213" s="2"/>
      <c r="S213" s="2"/>
      <c r="T213" s="2"/>
    </row>
    <row r="214" spans="2:20" ht="16.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Q214" s="2"/>
      <c r="R214" s="2"/>
      <c r="S214" s="2"/>
      <c r="T214" s="2"/>
    </row>
    <row r="215" spans="2:20" ht="16.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Q215" s="2"/>
      <c r="R215" s="2"/>
      <c r="S215" s="2"/>
      <c r="T215" s="2"/>
    </row>
    <row r="216" spans="2:20" ht="16.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Q216" s="2"/>
      <c r="R216" s="2"/>
      <c r="S216" s="2"/>
      <c r="T216" s="2"/>
    </row>
    <row r="217" spans="2:20" ht="16.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Q217" s="2"/>
      <c r="R217" s="2"/>
      <c r="S217" s="2"/>
      <c r="T217" s="2"/>
    </row>
    <row r="218" spans="2:20" ht="16.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Q218" s="2"/>
      <c r="R218" s="2"/>
      <c r="S218" s="2"/>
      <c r="T218" s="2"/>
    </row>
    <row r="219" spans="2:20" ht="16.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Q219" s="2"/>
      <c r="R219" s="2"/>
      <c r="S219" s="2"/>
      <c r="T219" s="2"/>
    </row>
    <row r="220" spans="2:20" ht="16.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Q220" s="2"/>
      <c r="R220" s="2"/>
      <c r="S220" s="2"/>
      <c r="T220" s="2"/>
    </row>
    <row r="221" spans="2:20" ht="16.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Q221" s="2"/>
      <c r="R221" s="2"/>
      <c r="S221" s="2"/>
      <c r="T221" s="2"/>
    </row>
    <row r="222" spans="2:20" ht="16.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Q222" s="2"/>
      <c r="R222" s="2"/>
      <c r="S222" s="2"/>
      <c r="T222" s="2"/>
    </row>
    <row r="223" spans="2:20" ht="16.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Q223" s="2"/>
      <c r="R223" s="2"/>
      <c r="S223" s="2"/>
      <c r="T223" s="2"/>
    </row>
    <row r="224" spans="2:20" ht="16.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Q224" s="2"/>
      <c r="R224" s="2"/>
      <c r="S224" s="2"/>
      <c r="T224" s="2"/>
    </row>
    <row r="225" spans="2:20" ht="16.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Q225" s="2"/>
      <c r="R225" s="2"/>
      <c r="S225" s="2"/>
      <c r="T225" s="2"/>
    </row>
    <row r="226" spans="2:20" ht="16.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Q226" s="2"/>
      <c r="R226" s="2"/>
      <c r="S226" s="2"/>
      <c r="T226" s="2"/>
    </row>
    <row r="227" spans="2:20" ht="16.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Q227" s="2"/>
      <c r="R227" s="2"/>
      <c r="S227" s="2"/>
      <c r="T227" s="2"/>
    </row>
    <row r="228" spans="2:20" ht="16.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Q228" s="2"/>
      <c r="R228" s="2"/>
      <c r="S228" s="2"/>
      <c r="T228" s="2"/>
    </row>
    <row r="229" spans="2:20" ht="16.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Q229" s="2"/>
      <c r="R229" s="2"/>
      <c r="S229" s="2"/>
      <c r="T229" s="2"/>
    </row>
    <row r="230" spans="2:20" ht="16.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Q230" s="2"/>
      <c r="R230" s="2"/>
      <c r="S230" s="2"/>
      <c r="T230" s="2"/>
    </row>
    <row r="231" spans="2:20" ht="16.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Q231" s="2"/>
      <c r="R231" s="2"/>
      <c r="S231" s="2"/>
      <c r="T231" s="2"/>
    </row>
    <row r="232" spans="2:20" ht="16.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Q232" s="2"/>
      <c r="R232" s="2"/>
      <c r="S232" s="2"/>
      <c r="T232" s="2"/>
    </row>
    <row r="233" spans="2:20" ht="16.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Q233" s="2"/>
      <c r="R233" s="2"/>
      <c r="S233" s="2"/>
      <c r="T233" s="2"/>
    </row>
    <row r="234" spans="2:20" ht="16.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Q234" s="2"/>
      <c r="R234" s="2"/>
      <c r="S234" s="2"/>
      <c r="T234" s="2"/>
    </row>
    <row r="235" spans="2:20" ht="16.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Q235" s="2"/>
      <c r="R235" s="2"/>
      <c r="S235" s="2"/>
      <c r="T235" s="2"/>
    </row>
    <row r="236" spans="2:20" ht="16.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Q236" s="2"/>
      <c r="R236" s="2"/>
      <c r="S236" s="2"/>
      <c r="T236" s="2"/>
    </row>
    <row r="237" spans="2:20" ht="16.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Q237" s="2"/>
      <c r="R237" s="2"/>
      <c r="S237" s="2"/>
      <c r="T237" s="2"/>
    </row>
    <row r="238" spans="2:20" ht="16.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Q238" s="2"/>
      <c r="R238" s="2"/>
      <c r="S238" s="2"/>
      <c r="T238" s="2"/>
    </row>
    <row r="239" spans="2:20" ht="16.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Q239" s="2"/>
      <c r="R239" s="2"/>
      <c r="S239" s="2"/>
      <c r="T239" s="2"/>
    </row>
    <row r="240" spans="2:20" ht="16.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Q240" s="2"/>
      <c r="R240" s="2"/>
      <c r="S240" s="2"/>
      <c r="T240" s="2"/>
    </row>
    <row r="241" spans="2:20" ht="16.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Q241" s="2"/>
      <c r="R241" s="2"/>
      <c r="S241" s="2"/>
      <c r="T241" s="2"/>
    </row>
    <row r="242" spans="2:20" ht="16.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Q242" s="2"/>
      <c r="R242" s="2"/>
      <c r="S242" s="2"/>
      <c r="T242" s="2"/>
    </row>
    <row r="243" spans="2:20" ht="16.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Q243" s="2"/>
      <c r="R243" s="2"/>
      <c r="S243" s="2"/>
      <c r="T243" s="2"/>
    </row>
    <row r="244" spans="2:20" ht="16.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Q244" s="2"/>
      <c r="R244" s="2"/>
      <c r="S244" s="2"/>
      <c r="T244" s="2"/>
    </row>
    <row r="245" spans="2:20" ht="16.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Q245" s="2"/>
      <c r="R245" s="2"/>
      <c r="S245" s="2"/>
      <c r="T245" s="2"/>
    </row>
    <row r="246" spans="2:20" ht="16.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Q246" s="2"/>
      <c r="R246" s="2"/>
      <c r="S246" s="2"/>
      <c r="T246" s="2"/>
    </row>
    <row r="247" spans="2:20" ht="16.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Q247" s="2"/>
      <c r="R247" s="2"/>
      <c r="S247" s="2"/>
      <c r="T247" s="2"/>
    </row>
    <row r="248" spans="2:20" ht="16.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Q248" s="2"/>
      <c r="R248" s="2"/>
      <c r="S248" s="2"/>
      <c r="T248" s="2"/>
    </row>
    <row r="249" spans="2:20" ht="16.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Q249" s="2"/>
      <c r="R249" s="2"/>
      <c r="S249" s="2"/>
      <c r="T249" s="2"/>
    </row>
    <row r="250" spans="2:20" ht="16.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Q250" s="2"/>
      <c r="R250" s="2"/>
      <c r="S250" s="2"/>
      <c r="T250" s="2"/>
    </row>
    <row r="251" spans="2:20" ht="16.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Q251" s="2"/>
      <c r="R251" s="2"/>
      <c r="S251" s="2"/>
      <c r="T251" s="2"/>
    </row>
    <row r="252" spans="2:20" ht="16.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Q252" s="2"/>
      <c r="R252" s="2"/>
      <c r="S252" s="2"/>
      <c r="T252" s="2"/>
    </row>
    <row r="253" spans="2:20" ht="16.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Q253" s="2"/>
      <c r="R253" s="2"/>
      <c r="S253" s="2"/>
      <c r="T253" s="2"/>
    </row>
    <row r="254" spans="2:20" ht="16.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Q254" s="2"/>
      <c r="R254" s="2"/>
      <c r="S254" s="2"/>
      <c r="T254" s="2"/>
    </row>
    <row r="255" spans="2:20" ht="16.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Q255" s="2"/>
      <c r="R255" s="2"/>
      <c r="S255" s="2"/>
      <c r="T255" s="2"/>
    </row>
    <row r="256" spans="2:20" ht="16.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Q256" s="2"/>
      <c r="R256" s="2"/>
      <c r="S256" s="2"/>
      <c r="T256" s="2"/>
    </row>
    <row r="257" spans="2:20" ht="16.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Q257" s="2"/>
      <c r="R257" s="2"/>
      <c r="S257" s="2"/>
      <c r="T257" s="2"/>
    </row>
    <row r="258" spans="2:20" ht="16.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Q258" s="2"/>
      <c r="R258" s="2"/>
      <c r="S258" s="2"/>
      <c r="T258" s="2"/>
    </row>
    <row r="259" spans="2:20" ht="16.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Q259" s="2"/>
      <c r="R259" s="2"/>
      <c r="S259" s="2"/>
      <c r="T259" s="2"/>
    </row>
    <row r="260" spans="2:20" ht="16.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Q260" s="2"/>
      <c r="R260" s="2"/>
      <c r="S260" s="2"/>
      <c r="T260" s="2"/>
    </row>
    <row r="261" spans="2:20" ht="16.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Q261" s="2"/>
      <c r="R261" s="2"/>
      <c r="S261" s="2"/>
      <c r="T261" s="2"/>
    </row>
    <row r="262" spans="2:20" ht="16.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Q262" s="2"/>
      <c r="R262" s="2"/>
      <c r="S262" s="2"/>
      <c r="T262" s="2"/>
    </row>
    <row r="263" spans="2:20" ht="16.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Q263" s="2"/>
      <c r="R263" s="2"/>
      <c r="S263" s="2"/>
      <c r="T263" s="2"/>
    </row>
    <row r="264" spans="2:20" ht="16.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Q264" s="2"/>
      <c r="R264" s="2"/>
      <c r="S264" s="2"/>
      <c r="T264" s="2"/>
    </row>
    <row r="265" spans="2:20" ht="16.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Q265" s="2"/>
      <c r="R265" s="2"/>
      <c r="S265" s="2"/>
      <c r="T265" s="2"/>
    </row>
    <row r="266" spans="2:20" ht="16.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Q266" s="2"/>
      <c r="R266" s="2"/>
      <c r="S266" s="2"/>
      <c r="T266" s="2"/>
    </row>
    <row r="267" spans="2:20" ht="16.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Q267" s="2"/>
      <c r="R267" s="2"/>
      <c r="S267" s="2"/>
      <c r="T267" s="2"/>
    </row>
    <row r="268" spans="2:20" ht="16.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Q268" s="2"/>
      <c r="R268" s="2"/>
      <c r="S268" s="2"/>
      <c r="T268" s="2"/>
    </row>
    <row r="269" spans="2:20" ht="16.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Q269" s="2"/>
      <c r="R269" s="2"/>
      <c r="S269" s="2"/>
      <c r="T269" s="2"/>
    </row>
    <row r="270" spans="2:20" ht="16.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Q270" s="2"/>
      <c r="R270" s="2"/>
      <c r="S270" s="2"/>
      <c r="T270" s="2"/>
    </row>
    <row r="271" spans="2:20" ht="16.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Q271" s="2"/>
      <c r="R271" s="2"/>
      <c r="S271" s="2"/>
      <c r="T271" s="2"/>
    </row>
    <row r="272" spans="2:20" ht="16.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Q272" s="2"/>
      <c r="R272" s="2"/>
      <c r="S272" s="2"/>
      <c r="T272" s="2"/>
    </row>
    <row r="273" spans="2:20" ht="16.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Q273" s="2"/>
      <c r="R273" s="2"/>
      <c r="S273" s="2"/>
      <c r="T273" s="2"/>
    </row>
    <row r="274" spans="2:20" ht="16.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Q274" s="2"/>
      <c r="R274" s="2"/>
      <c r="S274" s="2"/>
      <c r="T274" s="2"/>
    </row>
    <row r="275" spans="2:20" ht="16.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Q275" s="2"/>
      <c r="R275" s="2"/>
      <c r="S275" s="2"/>
      <c r="T275" s="2"/>
    </row>
    <row r="276" spans="2:20" ht="16.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Q276" s="2"/>
      <c r="R276" s="2"/>
      <c r="S276" s="2"/>
      <c r="T276" s="2"/>
    </row>
    <row r="277" spans="2:20" ht="16.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Q277" s="2"/>
      <c r="R277" s="2"/>
      <c r="S277" s="2"/>
      <c r="T277" s="2"/>
    </row>
    <row r="278" spans="2:20" ht="16.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Q278" s="2"/>
      <c r="R278" s="2"/>
      <c r="S278" s="2"/>
      <c r="T278" s="2"/>
    </row>
    <row r="279" spans="2:20" ht="16.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Q279" s="2"/>
      <c r="R279" s="2"/>
      <c r="S279" s="2"/>
      <c r="T279" s="2"/>
    </row>
    <row r="280" spans="2:20" ht="16.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Q280" s="2"/>
      <c r="R280" s="2"/>
      <c r="S280" s="2"/>
      <c r="T280" s="2"/>
    </row>
    <row r="281" spans="2:20" ht="16.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Q281" s="2"/>
      <c r="R281" s="2"/>
      <c r="S281" s="2"/>
      <c r="T281" s="2"/>
    </row>
    <row r="282" spans="2:20" ht="16.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Q282" s="2"/>
      <c r="R282" s="2"/>
      <c r="S282" s="2"/>
      <c r="T282" s="2"/>
    </row>
    <row r="283" spans="2:20" ht="16.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Q283" s="2"/>
      <c r="R283" s="2"/>
      <c r="S283" s="2"/>
      <c r="T283" s="2"/>
    </row>
    <row r="284" spans="2:20" ht="16.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Q284" s="2"/>
      <c r="R284" s="2"/>
      <c r="S284" s="2"/>
      <c r="T284" s="2"/>
    </row>
    <row r="285" spans="2:20" ht="16.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Q285" s="2"/>
      <c r="R285" s="2"/>
      <c r="S285" s="2"/>
      <c r="T285" s="2"/>
    </row>
    <row r="286" spans="2:20" ht="16.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Q286" s="2"/>
      <c r="R286" s="2"/>
      <c r="S286" s="2"/>
      <c r="T286" s="2"/>
    </row>
    <row r="287" spans="2:20" ht="16.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Q287" s="2"/>
      <c r="R287" s="2"/>
      <c r="S287" s="2"/>
      <c r="T287" s="2"/>
    </row>
    <row r="288" spans="2:20" ht="16.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Q288" s="2"/>
      <c r="R288" s="2"/>
      <c r="S288" s="2"/>
      <c r="T288" s="2"/>
    </row>
    <row r="289" spans="2:20" ht="16.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Q289" s="2"/>
      <c r="R289" s="2"/>
      <c r="S289" s="2"/>
      <c r="T289" s="2"/>
    </row>
    <row r="290" spans="2:20" ht="16.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Q290" s="2"/>
      <c r="R290" s="2"/>
      <c r="S290" s="2"/>
      <c r="T290" s="2"/>
    </row>
    <row r="291" spans="2:20" ht="16.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Q291" s="2"/>
      <c r="R291" s="2"/>
      <c r="S291" s="2"/>
      <c r="T291" s="2"/>
    </row>
    <row r="292" spans="2:20" ht="16.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Q292" s="2"/>
      <c r="R292" s="2"/>
      <c r="S292" s="2"/>
      <c r="T292" s="2"/>
    </row>
    <row r="293" spans="2:20" ht="16.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Q293" s="2"/>
      <c r="R293" s="2"/>
      <c r="S293" s="2"/>
      <c r="T293" s="2"/>
    </row>
    <row r="294" spans="2:20" ht="16.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Q294" s="2"/>
      <c r="R294" s="2"/>
      <c r="S294" s="2"/>
      <c r="T294" s="2"/>
    </row>
    <row r="295" spans="2:20" ht="16.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Q295" s="2"/>
      <c r="R295" s="2"/>
      <c r="S295" s="2"/>
      <c r="T295" s="2"/>
    </row>
    <row r="296" spans="2:20" ht="16.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Q296" s="2"/>
      <c r="R296" s="2"/>
      <c r="S296" s="2"/>
      <c r="T296" s="2"/>
    </row>
    <row r="297" spans="2:20" ht="16.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Q297" s="2"/>
      <c r="R297" s="2"/>
      <c r="S297" s="2"/>
      <c r="T297" s="2"/>
    </row>
    <row r="298" spans="2:20" ht="16.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Q298" s="2"/>
      <c r="R298" s="2"/>
      <c r="S298" s="2"/>
      <c r="T298" s="2"/>
    </row>
    <row r="299" spans="2:20" ht="16.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Q299" s="2"/>
      <c r="R299" s="2"/>
      <c r="S299" s="2"/>
      <c r="T299" s="2"/>
    </row>
    <row r="300" spans="2:20" ht="16.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Q300" s="2"/>
      <c r="R300" s="2"/>
      <c r="S300" s="2"/>
      <c r="T300" s="2"/>
    </row>
    <row r="301" spans="2:20" ht="16.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Q301" s="2"/>
      <c r="R301" s="2"/>
      <c r="S301" s="2"/>
      <c r="T301" s="2"/>
    </row>
    <row r="302" spans="2:20" ht="16.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Q302" s="2"/>
      <c r="R302" s="2"/>
      <c r="S302" s="2"/>
      <c r="T302" s="2"/>
    </row>
    <row r="303" spans="2:20" ht="16.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Q303" s="2"/>
      <c r="R303" s="2"/>
      <c r="S303" s="2"/>
      <c r="T303" s="2"/>
    </row>
    <row r="304" spans="2:20" ht="16.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Q304" s="2"/>
      <c r="R304" s="2"/>
      <c r="S304" s="2"/>
      <c r="T304" s="2"/>
    </row>
    <row r="305" spans="2:20" ht="16.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Q305" s="2"/>
      <c r="R305" s="2"/>
      <c r="S305" s="2"/>
      <c r="T305" s="2"/>
    </row>
    <row r="306" spans="2:20" ht="16.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Q306" s="2"/>
      <c r="R306" s="2"/>
      <c r="S306" s="2"/>
      <c r="T306" s="2"/>
    </row>
    <row r="307" spans="2:20" ht="16.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Q307" s="2"/>
      <c r="R307" s="2"/>
      <c r="S307" s="2"/>
      <c r="T307" s="2"/>
    </row>
    <row r="308" spans="2:20" ht="16.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Q308" s="2"/>
      <c r="R308" s="2"/>
      <c r="S308" s="2"/>
      <c r="T308" s="2"/>
    </row>
    <row r="309" spans="2:20" ht="16.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Q309" s="2"/>
      <c r="R309" s="2"/>
      <c r="S309" s="2"/>
      <c r="T309" s="2"/>
    </row>
    <row r="310" spans="2:20" ht="16.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Q310" s="2"/>
      <c r="R310" s="2"/>
      <c r="S310" s="2"/>
      <c r="T310" s="2"/>
    </row>
    <row r="311" spans="2:20" ht="16.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Q311" s="2"/>
      <c r="R311" s="2"/>
      <c r="S311" s="2"/>
      <c r="T311" s="2"/>
    </row>
    <row r="312" spans="2:20" ht="16.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Q312" s="2"/>
      <c r="R312" s="2"/>
      <c r="S312" s="2"/>
      <c r="T312" s="2"/>
    </row>
    <row r="313" spans="2:20" ht="16.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Q313" s="2"/>
      <c r="R313" s="2"/>
      <c r="S313" s="2"/>
      <c r="T313" s="2"/>
    </row>
    <row r="314" spans="2:20" ht="16.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Q314" s="2"/>
      <c r="R314" s="2"/>
      <c r="S314" s="2"/>
      <c r="T314" s="2"/>
    </row>
    <row r="315" spans="2:20" ht="16.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Q315" s="2"/>
      <c r="R315" s="2"/>
      <c r="S315" s="2"/>
      <c r="T315" s="2"/>
    </row>
    <row r="316" spans="2:20" ht="16.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Q316" s="2"/>
      <c r="R316" s="2"/>
      <c r="S316" s="2"/>
      <c r="T316" s="2"/>
    </row>
    <row r="317" spans="2:20" ht="16.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Q317" s="2"/>
      <c r="R317" s="2"/>
      <c r="S317" s="2"/>
      <c r="T317" s="2"/>
    </row>
    <row r="318" spans="2:20" ht="16.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Q318" s="2"/>
      <c r="R318" s="2"/>
      <c r="S318" s="2"/>
      <c r="T318" s="2"/>
    </row>
    <row r="319" spans="2:20" ht="16.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Q319" s="2"/>
      <c r="R319" s="2"/>
      <c r="S319" s="2"/>
      <c r="T319" s="2"/>
    </row>
    <row r="320" spans="2:20" ht="16.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Q320" s="2"/>
      <c r="R320" s="2"/>
      <c r="S320" s="2"/>
      <c r="T320" s="2"/>
    </row>
    <row r="321" spans="2:20" ht="16.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Q321" s="2"/>
      <c r="R321" s="2"/>
      <c r="S321" s="2"/>
      <c r="T321" s="2"/>
    </row>
    <row r="322" spans="2:20" ht="16.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Q322" s="2"/>
      <c r="R322" s="2"/>
      <c r="S322" s="2"/>
      <c r="T322" s="2"/>
    </row>
    <row r="323" spans="2:20" ht="16.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Q323" s="2"/>
      <c r="R323" s="2"/>
      <c r="S323" s="2"/>
      <c r="T323" s="2"/>
    </row>
    <row r="324" spans="2:20" ht="16.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Q324" s="2"/>
      <c r="R324" s="2"/>
      <c r="S324" s="2"/>
      <c r="T324" s="2"/>
    </row>
    <row r="325" spans="2:20" ht="16.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Q325" s="2"/>
      <c r="R325" s="2"/>
      <c r="S325" s="2"/>
      <c r="T325" s="2"/>
    </row>
    <row r="326" spans="2:20" ht="16.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Q326" s="2"/>
      <c r="R326" s="2"/>
      <c r="S326" s="2"/>
      <c r="T326" s="2"/>
    </row>
    <row r="327" spans="2:20" ht="16.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Q327" s="2"/>
      <c r="R327" s="2"/>
      <c r="S327" s="2"/>
      <c r="T327" s="2"/>
    </row>
    <row r="328" spans="2:20" ht="16.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Q328" s="2"/>
      <c r="R328" s="2"/>
      <c r="S328" s="2"/>
      <c r="T328" s="2"/>
    </row>
    <row r="329" spans="2:20" ht="16.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Q329" s="2"/>
      <c r="R329" s="2"/>
      <c r="S329" s="2"/>
      <c r="T329" s="2"/>
    </row>
    <row r="330" spans="2:20" ht="16.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Q330" s="2"/>
      <c r="R330" s="2"/>
      <c r="S330" s="2"/>
      <c r="T330" s="2"/>
    </row>
    <row r="331" spans="2:20" ht="16.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Q331" s="2"/>
      <c r="R331" s="2"/>
      <c r="S331" s="2"/>
      <c r="T331" s="2"/>
    </row>
    <row r="332" spans="2:20" ht="16.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Q332" s="2"/>
      <c r="R332" s="2"/>
      <c r="S332" s="2"/>
      <c r="T332" s="2"/>
    </row>
    <row r="333" spans="2:20" ht="16.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Q333" s="2"/>
      <c r="R333" s="2"/>
      <c r="S333" s="2"/>
      <c r="T333" s="2"/>
    </row>
    <row r="334" spans="2:20" ht="16.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Q334" s="2"/>
      <c r="R334" s="2"/>
      <c r="S334" s="2"/>
      <c r="T334" s="2"/>
    </row>
    <row r="335" spans="2:20" ht="16.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Q335" s="2"/>
      <c r="R335" s="2"/>
      <c r="S335" s="2"/>
      <c r="T335" s="2"/>
    </row>
    <row r="336" spans="2:20" ht="16.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Q336" s="2"/>
      <c r="R336" s="2"/>
      <c r="S336" s="2"/>
      <c r="T336" s="2"/>
    </row>
    <row r="337" spans="2:20" ht="16.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Q337" s="2"/>
      <c r="R337" s="2"/>
      <c r="S337" s="2"/>
      <c r="T337" s="2"/>
    </row>
    <row r="338" spans="2:20" ht="16.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Q338" s="2"/>
      <c r="R338" s="2"/>
      <c r="S338" s="2"/>
      <c r="T338" s="2"/>
    </row>
    <row r="339" spans="2:20" ht="16.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Q339" s="2"/>
      <c r="R339" s="2"/>
      <c r="S339" s="2"/>
      <c r="T339" s="2"/>
    </row>
    <row r="340" spans="2:20" ht="16.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Q340" s="2"/>
      <c r="R340" s="2"/>
      <c r="S340" s="2"/>
      <c r="T340" s="2"/>
    </row>
    <row r="341" spans="2:20" ht="16.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Q341" s="2"/>
      <c r="R341" s="2"/>
      <c r="S341" s="2"/>
      <c r="T341" s="2"/>
    </row>
    <row r="342" spans="2:20" ht="16.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Q342" s="2"/>
      <c r="R342" s="2"/>
      <c r="S342" s="2"/>
      <c r="T342" s="2"/>
    </row>
    <row r="343" spans="2:20" ht="16.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Q343" s="2"/>
      <c r="R343" s="2"/>
      <c r="S343" s="2"/>
      <c r="T343" s="2"/>
    </row>
    <row r="344" spans="2:20" ht="16.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Q344" s="2"/>
      <c r="R344" s="2"/>
      <c r="S344" s="2"/>
      <c r="T344" s="2"/>
    </row>
    <row r="345" spans="2:20" ht="16.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Q345" s="2"/>
      <c r="R345" s="2"/>
      <c r="S345" s="2"/>
      <c r="T345" s="2"/>
    </row>
    <row r="346" spans="2:20" ht="16.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Q346" s="2"/>
      <c r="R346" s="2"/>
      <c r="S346" s="2"/>
      <c r="T346" s="2"/>
    </row>
    <row r="347" spans="2:20" ht="16.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Q347" s="2"/>
      <c r="R347" s="2"/>
      <c r="S347" s="2"/>
      <c r="T347" s="2"/>
    </row>
    <row r="348" spans="2:20" ht="16.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Q348" s="2"/>
      <c r="R348" s="2"/>
      <c r="S348" s="2"/>
      <c r="T348" s="2"/>
    </row>
    <row r="349" spans="2:20" ht="16.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Q349" s="2"/>
      <c r="R349" s="2"/>
      <c r="S349" s="2"/>
      <c r="T349" s="2"/>
    </row>
    <row r="350" spans="2:20" ht="16.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Q350" s="2"/>
      <c r="R350" s="2"/>
      <c r="S350" s="2"/>
      <c r="T350" s="2"/>
    </row>
    <row r="351" spans="2:20" ht="16.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Q351" s="2"/>
      <c r="R351" s="2"/>
      <c r="S351" s="2"/>
      <c r="T351" s="2"/>
    </row>
    <row r="352" spans="2:20" ht="16.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Q352" s="2"/>
      <c r="R352" s="2"/>
      <c r="S352" s="2"/>
      <c r="T352" s="2"/>
    </row>
    <row r="353" spans="2:20" ht="16.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Q353" s="2"/>
      <c r="R353" s="2"/>
      <c r="S353" s="2"/>
      <c r="T353" s="2"/>
    </row>
    <row r="354" spans="2:20" ht="16.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Q354" s="2"/>
      <c r="R354" s="2"/>
      <c r="S354" s="2"/>
      <c r="T354" s="2"/>
    </row>
    <row r="355" spans="2:20" ht="16.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Q355" s="2"/>
      <c r="R355" s="2"/>
      <c r="S355" s="2"/>
      <c r="T355" s="2"/>
    </row>
    <row r="356" spans="2:20" ht="16.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Q356" s="2"/>
      <c r="R356" s="2"/>
      <c r="S356" s="2"/>
      <c r="T356" s="2"/>
    </row>
    <row r="357" spans="2:20" ht="16.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Q357" s="2"/>
      <c r="R357" s="2"/>
      <c r="S357" s="2"/>
      <c r="T357" s="2"/>
    </row>
    <row r="358" spans="2:20" ht="16.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Q358" s="2"/>
      <c r="R358" s="2"/>
      <c r="S358" s="2"/>
      <c r="T358" s="2"/>
    </row>
    <row r="359" spans="2:20" ht="16.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Q359" s="2"/>
      <c r="R359" s="2"/>
      <c r="S359" s="2"/>
      <c r="T359" s="2"/>
    </row>
    <row r="360" spans="2:20" ht="16.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Q360" s="2"/>
      <c r="R360" s="2"/>
      <c r="S360" s="2"/>
      <c r="T360" s="2"/>
    </row>
    <row r="361" spans="2:20" ht="16.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Q361" s="2"/>
      <c r="R361" s="2"/>
      <c r="S361" s="2"/>
      <c r="T361" s="2"/>
    </row>
    <row r="362" spans="2:20" ht="16.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Q362" s="2"/>
      <c r="R362" s="2"/>
      <c r="S362" s="2"/>
      <c r="T362" s="2"/>
    </row>
    <row r="363" spans="2:20" ht="16.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Q363" s="2"/>
      <c r="R363" s="2"/>
      <c r="S363" s="2"/>
      <c r="T363" s="2"/>
    </row>
    <row r="364" spans="2:20" ht="16.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Q364" s="2"/>
      <c r="R364" s="2"/>
      <c r="S364" s="2"/>
      <c r="T364" s="2"/>
    </row>
    <row r="365" spans="2:20" ht="16.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Q365" s="2"/>
      <c r="R365" s="2"/>
      <c r="S365" s="2"/>
      <c r="T365" s="2"/>
    </row>
    <row r="366" spans="2:20" ht="16.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Q366" s="2"/>
      <c r="R366" s="2"/>
      <c r="S366" s="2"/>
      <c r="T366" s="2"/>
    </row>
    <row r="367" spans="2:20" ht="16.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Q367" s="2"/>
      <c r="R367" s="2"/>
      <c r="S367" s="2"/>
      <c r="T367" s="2"/>
    </row>
    <row r="368" spans="2:20" ht="16.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Q368" s="2"/>
      <c r="R368" s="2"/>
      <c r="S368" s="2"/>
      <c r="T368" s="2"/>
    </row>
    <row r="369" spans="2:20" ht="16.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Q369" s="2"/>
      <c r="R369" s="2"/>
      <c r="S369" s="2"/>
      <c r="T369" s="2"/>
    </row>
    <row r="370" spans="2:20" ht="16.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Q370" s="2"/>
      <c r="R370" s="2"/>
      <c r="S370" s="2"/>
      <c r="T370" s="2"/>
    </row>
    <row r="371" spans="2:20" ht="16.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Q371" s="2"/>
      <c r="R371" s="2"/>
      <c r="S371" s="2"/>
      <c r="T371" s="2"/>
    </row>
    <row r="372" spans="2:20" ht="16.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Q372" s="2"/>
      <c r="R372" s="2"/>
      <c r="S372" s="2"/>
      <c r="T372" s="2"/>
    </row>
    <row r="373" spans="2:20" ht="16.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Q373" s="2"/>
      <c r="R373" s="2"/>
      <c r="S373" s="2"/>
      <c r="T373" s="2"/>
    </row>
    <row r="374" spans="2:20" ht="16.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Q374" s="2"/>
      <c r="R374" s="2"/>
      <c r="S374" s="2"/>
      <c r="T374" s="2"/>
    </row>
    <row r="375" spans="2:20" ht="16.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Q375" s="2"/>
      <c r="R375" s="2"/>
      <c r="S375" s="2"/>
      <c r="T375" s="2"/>
    </row>
    <row r="376" spans="2:20" ht="16.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Q376" s="2"/>
      <c r="R376" s="2"/>
      <c r="S376" s="2"/>
      <c r="T376" s="2"/>
    </row>
    <row r="377" spans="2:20" ht="16.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Q377" s="2"/>
      <c r="R377" s="2"/>
      <c r="S377" s="2"/>
      <c r="T377" s="2"/>
    </row>
    <row r="378" spans="2:20" ht="16.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Q378" s="2"/>
      <c r="R378" s="2"/>
      <c r="S378" s="2"/>
      <c r="T378" s="2"/>
    </row>
    <row r="379" spans="2:20" ht="16.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Q379" s="2"/>
      <c r="R379" s="2"/>
      <c r="S379" s="2"/>
      <c r="T379" s="2"/>
    </row>
    <row r="380" spans="2:20" ht="16.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Q380" s="2"/>
      <c r="R380" s="2"/>
      <c r="S380" s="2"/>
      <c r="T380" s="2"/>
    </row>
    <row r="381" spans="2:20" ht="16.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Q381" s="2"/>
      <c r="R381" s="2"/>
      <c r="S381" s="2"/>
      <c r="T381" s="2"/>
    </row>
    <row r="382" spans="2:20" ht="16.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Q382" s="2"/>
      <c r="R382" s="2"/>
      <c r="S382" s="2"/>
      <c r="T382" s="2"/>
    </row>
    <row r="383" spans="2:20" ht="16.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Q383" s="2"/>
      <c r="R383" s="2"/>
      <c r="S383" s="2"/>
      <c r="T383" s="2"/>
    </row>
    <row r="384" spans="2:20" ht="16.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Q384" s="2"/>
      <c r="R384" s="2"/>
      <c r="S384" s="2"/>
      <c r="T384" s="2"/>
    </row>
    <row r="385" spans="2:20" ht="16.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Q385" s="2"/>
      <c r="R385" s="2"/>
      <c r="S385" s="2"/>
      <c r="T385" s="2"/>
    </row>
    <row r="386" spans="2:20" ht="16.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Q386" s="2"/>
      <c r="R386" s="2"/>
      <c r="S386" s="2"/>
      <c r="T386" s="2"/>
    </row>
    <row r="387" spans="2:20" ht="16.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Q387" s="2"/>
      <c r="R387" s="2"/>
      <c r="S387" s="2"/>
      <c r="T387" s="2"/>
    </row>
    <row r="388" spans="2:20" ht="16.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Q388" s="2"/>
      <c r="R388" s="2"/>
      <c r="S388" s="2"/>
      <c r="T388" s="2"/>
    </row>
    <row r="389" spans="2:20" ht="16.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Q389" s="2"/>
      <c r="R389" s="2"/>
      <c r="S389" s="2"/>
      <c r="T389" s="2"/>
    </row>
    <row r="390" spans="2:20" ht="16.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Q390" s="2"/>
      <c r="R390" s="2"/>
      <c r="S390" s="2"/>
      <c r="T390" s="2"/>
    </row>
    <row r="391" spans="2:20" ht="16.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Q391" s="2"/>
      <c r="R391" s="2"/>
      <c r="S391" s="2"/>
      <c r="T391" s="2"/>
    </row>
    <row r="392" spans="2:20" ht="16.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Q392" s="2"/>
      <c r="R392" s="2"/>
      <c r="S392" s="2"/>
      <c r="T392" s="2"/>
    </row>
    <row r="393" spans="2:20" ht="16.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Q393" s="2"/>
      <c r="R393" s="2"/>
      <c r="S393" s="2"/>
      <c r="T393" s="2"/>
    </row>
    <row r="394" spans="2:20" ht="16.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Q394" s="2"/>
      <c r="R394" s="2"/>
      <c r="S394" s="2"/>
      <c r="T394" s="2"/>
    </row>
    <row r="395" spans="2:20" ht="16.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Q395" s="2"/>
      <c r="R395" s="2"/>
      <c r="S395" s="2"/>
      <c r="T395" s="2"/>
    </row>
    <row r="396" spans="2:20" ht="16.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Q396" s="2"/>
      <c r="R396" s="2"/>
      <c r="S396" s="2"/>
      <c r="T396" s="2"/>
    </row>
    <row r="397" spans="2:20" ht="16.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Q397" s="2"/>
      <c r="R397" s="2"/>
      <c r="S397" s="2"/>
      <c r="T397" s="2"/>
    </row>
    <row r="398" spans="2:20" ht="16.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Q398" s="2"/>
      <c r="R398" s="2"/>
      <c r="S398" s="2"/>
      <c r="T398" s="2"/>
    </row>
    <row r="399" spans="2:20" ht="16.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Q399" s="2"/>
      <c r="R399" s="2"/>
      <c r="S399" s="2"/>
      <c r="T399" s="2"/>
    </row>
    <row r="400" spans="2:20" ht="16.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Q400" s="2"/>
      <c r="R400" s="2"/>
      <c r="S400" s="2"/>
      <c r="T400" s="2"/>
    </row>
    <row r="401" spans="2:20" ht="16.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Q401" s="2"/>
      <c r="R401" s="2"/>
      <c r="S401" s="2"/>
      <c r="T401" s="2"/>
    </row>
    <row r="402" spans="2:20" ht="16.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Q402" s="2"/>
      <c r="R402" s="2"/>
      <c r="S402" s="2"/>
      <c r="T402" s="2"/>
    </row>
    <row r="403" spans="2:20" ht="16.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Q403" s="2"/>
      <c r="R403" s="2"/>
      <c r="S403" s="2"/>
      <c r="T403" s="2"/>
    </row>
    <row r="404" spans="2:20" ht="16.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Q404" s="2"/>
      <c r="R404" s="2"/>
      <c r="S404" s="2"/>
      <c r="T404" s="2"/>
    </row>
    <row r="405" spans="2:20" ht="16.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Q405" s="2"/>
      <c r="R405" s="2"/>
      <c r="S405" s="2"/>
      <c r="T405" s="2"/>
    </row>
    <row r="406" spans="2:20" ht="16.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Q406" s="2"/>
      <c r="R406" s="2"/>
      <c r="S406" s="2"/>
      <c r="T406" s="2"/>
    </row>
    <row r="407" spans="2:20" ht="16.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Q407" s="2"/>
      <c r="R407" s="2"/>
      <c r="S407" s="2"/>
      <c r="T407" s="2"/>
    </row>
    <row r="408" spans="2:20" ht="16.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Q408" s="2"/>
      <c r="R408" s="2"/>
      <c r="S408" s="2"/>
      <c r="T408" s="2"/>
    </row>
    <row r="409" spans="2:20" ht="16.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Q409" s="2"/>
      <c r="R409" s="2"/>
      <c r="S409" s="2"/>
      <c r="T409" s="2"/>
    </row>
    <row r="410" spans="2:20" ht="16.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Q410" s="2"/>
      <c r="R410" s="2"/>
      <c r="S410" s="2"/>
      <c r="T410" s="2"/>
    </row>
    <row r="411" spans="2:20" ht="16.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Q411" s="2"/>
      <c r="R411" s="2"/>
      <c r="S411" s="2"/>
      <c r="T411" s="2"/>
    </row>
    <row r="412" spans="2:20" ht="16.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Q412" s="2"/>
      <c r="R412" s="2"/>
      <c r="S412" s="2"/>
      <c r="T412" s="2"/>
    </row>
    <row r="413" spans="2:20" ht="16.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Q413" s="2"/>
      <c r="R413" s="2"/>
      <c r="S413" s="2"/>
      <c r="T413" s="2"/>
    </row>
    <row r="414" spans="2:20" ht="16.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Q414" s="2"/>
      <c r="R414" s="2"/>
      <c r="S414" s="2"/>
      <c r="T414" s="2"/>
    </row>
    <row r="415" spans="2:20" ht="16.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Q415" s="2"/>
      <c r="R415" s="2"/>
      <c r="S415" s="2"/>
      <c r="T415" s="2"/>
    </row>
    <row r="416" spans="2:20" ht="16.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Q416" s="2"/>
      <c r="R416" s="2"/>
      <c r="S416" s="2"/>
      <c r="T416" s="2"/>
    </row>
    <row r="417" spans="2:20" ht="16.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Q417" s="2"/>
      <c r="R417" s="2"/>
      <c r="S417" s="2"/>
      <c r="T417" s="2"/>
    </row>
    <row r="418" spans="2:20" ht="16.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Q418" s="2"/>
      <c r="R418" s="2"/>
      <c r="S418" s="2"/>
      <c r="T418" s="2"/>
    </row>
    <row r="419" spans="2:20" ht="16.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Q419" s="2"/>
      <c r="R419" s="2"/>
      <c r="S419" s="2"/>
      <c r="T419" s="2"/>
    </row>
    <row r="420" spans="2:20" ht="16.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Q420" s="2"/>
      <c r="R420" s="2"/>
      <c r="S420" s="2"/>
      <c r="T420" s="2"/>
    </row>
    <row r="421" spans="2:20" ht="16.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Q421" s="2"/>
      <c r="R421" s="2"/>
      <c r="S421" s="2"/>
      <c r="T421" s="2"/>
    </row>
    <row r="422" spans="2:20" ht="16.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Q422" s="2"/>
      <c r="R422" s="2"/>
      <c r="S422" s="2"/>
      <c r="T422" s="2"/>
    </row>
    <row r="423" spans="2:20" ht="16.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Q423" s="2"/>
      <c r="R423" s="2"/>
      <c r="S423" s="2"/>
      <c r="T423" s="2"/>
    </row>
    <row r="424" spans="2:20" ht="16.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Q424" s="2"/>
      <c r="R424" s="2"/>
      <c r="S424" s="2"/>
      <c r="T424" s="2"/>
    </row>
    <row r="425" spans="2:20" ht="16.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Q425" s="2"/>
      <c r="R425" s="2"/>
      <c r="S425" s="2"/>
      <c r="T425" s="2"/>
    </row>
    <row r="426" spans="2:20" ht="16.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Q426" s="2"/>
      <c r="R426" s="2"/>
      <c r="S426" s="2"/>
      <c r="T426" s="2"/>
    </row>
    <row r="427" spans="2:20" ht="16.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Q427" s="2"/>
      <c r="R427" s="2"/>
      <c r="S427" s="2"/>
      <c r="T427" s="2"/>
    </row>
    <row r="428" spans="2:20" ht="16.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Q428" s="2"/>
      <c r="R428" s="2"/>
      <c r="S428" s="2"/>
      <c r="T428" s="2"/>
    </row>
    <row r="429" spans="2:20" ht="16.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Q429" s="2"/>
      <c r="R429" s="2"/>
      <c r="S429" s="2"/>
      <c r="T429" s="2"/>
    </row>
    <row r="430" spans="2:20" ht="16.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Q430" s="2"/>
      <c r="R430" s="2"/>
      <c r="S430" s="2"/>
      <c r="T430" s="2"/>
    </row>
    <row r="431" spans="2:20" ht="16.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Q431" s="2"/>
      <c r="R431" s="2"/>
      <c r="S431" s="2"/>
      <c r="T431" s="2"/>
    </row>
    <row r="432" spans="2:20" ht="16.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Q432" s="2"/>
      <c r="R432" s="2"/>
      <c r="S432" s="2"/>
      <c r="T432" s="2"/>
    </row>
    <row r="433" spans="2:20" ht="16.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Q433" s="2"/>
      <c r="R433" s="2"/>
      <c r="S433" s="2"/>
      <c r="T433" s="2"/>
    </row>
    <row r="434" spans="2:20" ht="16.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Q434" s="2"/>
      <c r="R434" s="2"/>
      <c r="S434" s="2"/>
      <c r="T434" s="2"/>
    </row>
    <row r="435" spans="2:20" ht="16.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Q435" s="2"/>
      <c r="R435" s="2"/>
      <c r="S435" s="2"/>
      <c r="T435" s="2"/>
    </row>
    <row r="436" spans="2:20" ht="16.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Q436" s="2"/>
      <c r="R436" s="2"/>
      <c r="S436" s="2"/>
      <c r="T436" s="2"/>
    </row>
    <row r="437" spans="2:20" ht="16.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Q437" s="2"/>
      <c r="R437" s="2"/>
      <c r="S437" s="2"/>
      <c r="T437" s="2"/>
    </row>
    <row r="438" spans="2:20" ht="16.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Q438" s="2"/>
      <c r="R438" s="2"/>
      <c r="S438" s="2"/>
      <c r="T438" s="2"/>
    </row>
    <row r="439" spans="2:20" ht="16.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Q439" s="2"/>
      <c r="R439" s="2"/>
      <c r="S439" s="2"/>
      <c r="T439" s="2"/>
    </row>
    <row r="440" spans="2:20" ht="16.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Q440" s="2"/>
      <c r="R440" s="2"/>
      <c r="S440" s="2"/>
      <c r="T440" s="2"/>
    </row>
    <row r="441" spans="2:20" ht="16.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Q441" s="2"/>
      <c r="R441" s="2"/>
      <c r="S441" s="2"/>
      <c r="T441" s="2"/>
    </row>
    <row r="442" spans="2:20" ht="16.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Q442" s="2"/>
      <c r="R442" s="2"/>
      <c r="S442" s="2"/>
      <c r="T442" s="2"/>
    </row>
    <row r="443" spans="2:20" ht="16.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Q443" s="2"/>
      <c r="R443" s="2"/>
      <c r="S443" s="2"/>
      <c r="T443" s="2"/>
    </row>
    <row r="444" spans="2:20" ht="16.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Q444" s="2"/>
      <c r="R444" s="2"/>
      <c r="S444" s="2"/>
      <c r="T444" s="2"/>
    </row>
    <row r="445" spans="2:20" ht="16.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Q445" s="2"/>
      <c r="R445" s="2"/>
      <c r="S445" s="2"/>
      <c r="T445" s="2"/>
    </row>
    <row r="446" spans="2:20" ht="16.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Q446" s="2"/>
      <c r="R446" s="2"/>
      <c r="S446" s="2"/>
      <c r="T446" s="2"/>
    </row>
    <row r="447" spans="2:20" ht="16.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Q447" s="2"/>
      <c r="R447" s="2"/>
      <c r="S447" s="2"/>
      <c r="T447" s="2"/>
    </row>
    <row r="448" spans="2:20" ht="16.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Q448" s="2"/>
      <c r="R448" s="2"/>
      <c r="S448" s="2"/>
      <c r="T448" s="2"/>
    </row>
    <row r="449" spans="2:20" ht="16.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Q449" s="2"/>
      <c r="R449" s="2"/>
      <c r="S449" s="2"/>
      <c r="T449" s="2"/>
    </row>
    <row r="450" spans="2:20" ht="16.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Q450" s="2"/>
      <c r="R450" s="2"/>
      <c r="S450" s="2"/>
      <c r="T450" s="2"/>
    </row>
    <row r="451" spans="2:20" ht="16.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Q451" s="2"/>
      <c r="R451" s="2"/>
      <c r="S451" s="2"/>
      <c r="T451" s="2"/>
    </row>
    <row r="452" spans="2:20" ht="16.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Q452" s="2"/>
      <c r="R452" s="2"/>
      <c r="S452" s="2"/>
      <c r="T452" s="2"/>
    </row>
    <row r="453" spans="2:20" ht="16.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Q453" s="2"/>
      <c r="R453" s="2"/>
      <c r="S453" s="2"/>
      <c r="T453" s="2"/>
    </row>
    <row r="454" spans="2:20" ht="16.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Q454" s="2"/>
      <c r="R454" s="2"/>
      <c r="S454" s="2"/>
      <c r="T454" s="2"/>
    </row>
    <row r="455" spans="2:20" ht="16.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Q455" s="2"/>
      <c r="R455" s="2"/>
      <c r="S455" s="2"/>
      <c r="T455" s="2"/>
    </row>
    <row r="456" spans="2:20" ht="16.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Q456" s="2"/>
      <c r="R456" s="2"/>
      <c r="S456" s="2"/>
      <c r="T456" s="2"/>
    </row>
    <row r="457" spans="2:20" ht="16.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Q457" s="2"/>
      <c r="R457" s="2"/>
      <c r="S457" s="2"/>
      <c r="T457" s="2"/>
    </row>
    <row r="458" spans="2:20" ht="16.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Q458" s="2"/>
      <c r="R458" s="2"/>
      <c r="S458" s="2"/>
      <c r="T458" s="2"/>
    </row>
    <row r="459" spans="2:20" ht="16.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Q459" s="2"/>
      <c r="R459" s="2"/>
      <c r="S459" s="2"/>
      <c r="T459" s="2"/>
    </row>
    <row r="460" spans="2:20" ht="16.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Q460" s="2"/>
      <c r="R460" s="2"/>
      <c r="S460" s="2"/>
      <c r="T460" s="2"/>
    </row>
    <row r="461" spans="2:20" ht="16.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Q461" s="2"/>
      <c r="R461" s="2"/>
      <c r="S461" s="2"/>
      <c r="T461" s="2"/>
    </row>
    <row r="462" spans="2:20" ht="16.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Q462" s="2"/>
      <c r="R462" s="2"/>
      <c r="S462" s="2"/>
      <c r="T462" s="2"/>
    </row>
    <row r="463" spans="2:20" ht="16.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Q463" s="2"/>
      <c r="R463" s="2"/>
      <c r="S463" s="2"/>
      <c r="T463" s="2"/>
    </row>
    <row r="464" spans="2:20" ht="16.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Q464" s="2"/>
      <c r="R464" s="2"/>
      <c r="S464" s="2"/>
      <c r="T464" s="2"/>
    </row>
    <row r="465" spans="2:20" ht="16.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Q465" s="2"/>
      <c r="R465" s="2"/>
      <c r="S465" s="2"/>
      <c r="T465" s="2"/>
    </row>
    <row r="466" spans="2:20" ht="16.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Q466" s="2"/>
      <c r="R466" s="2"/>
      <c r="S466" s="2"/>
      <c r="T466" s="2"/>
    </row>
    <row r="467" spans="2:20" ht="16.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Q467" s="2"/>
      <c r="R467" s="2"/>
      <c r="S467" s="2"/>
      <c r="T467" s="2"/>
    </row>
    <row r="468" spans="2:20" ht="16.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Q468" s="2"/>
      <c r="R468" s="2"/>
      <c r="S468" s="2"/>
      <c r="T468" s="2"/>
    </row>
    <row r="469" spans="2:20" ht="16.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Q469" s="2"/>
      <c r="R469" s="2"/>
      <c r="S469" s="2"/>
      <c r="T469" s="2"/>
    </row>
    <row r="470" spans="2:20" ht="16.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Q470" s="2"/>
      <c r="R470" s="2"/>
      <c r="S470" s="2"/>
      <c r="T470" s="2"/>
    </row>
    <row r="471" spans="2:20" ht="16.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Q471" s="2"/>
      <c r="R471" s="2"/>
      <c r="S471" s="2"/>
      <c r="T471" s="2"/>
    </row>
    <row r="472" spans="2:20" ht="16.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Q472" s="2"/>
      <c r="R472" s="2"/>
      <c r="S472" s="2"/>
      <c r="T472" s="2"/>
    </row>
    <row r="473" spans="2:20" ht="16.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Q473" s="2"/>
      <c r="R473" s="2"/>
      <c r="S473" s="2"/>
      <c r="T473" s="2"/>
    </row>
    <row r="474" spans="2:20" ht="16.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Q474" s="2"/>
      <c r="R474" s="2"/>
      <c r="S474" s="2"/>
      <c r="T474" s="2"/>
    </row>
    <row r="475" spans="2:20" ht="16.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Q475" s="2"/>
      <c r="R475" s="2"/>
      <c r="S475" s="2"/>
      <c r="T475" s="2"/>
    </row>
    <row r="476" spans="2:20" ht="16.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Q476" s="2"/>
      <c r="R476" s="2"/>
      <c r="S476" s="2"/>
      <c r="T476" s="2"/>
    </row>
    <row r="477" spans="2:20" ht="16.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Q477" s="2"/>
      <c r="R477" s="2"/>
      <c r="S477" s="2"/>
      <c r="T477" s="2"/>
    </row>
    <row r="478" spans="2:20" ht="16.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Q478" s="2"/>
      <c r="R478" s="2"/>
      <c r="S478" s="2"/>
      <c r="T478" s="2"/>
    </row>
    <row r="479" spans="2:20" ht="16.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Q479" s="2"/>
      <c r="R479" s="2"/>
      <c r="S479" s="2"/>
      <c r="T479" s="2"/>
    </row>
    <row r="480" spans="2:20" ht="16.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Q480" s="2"/>
      <c r="R480" s="2"/>
      <c r="S480" s="2"/>
      <c r="T480" s="2"/>
    </row>
    <row r="481" spans="2:20" ht="16.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Q481" s="2"/>
      <c r="R481" s="2"/>
      <c r="S481" s="2"/>
      <c r="T481" s="2"/>
    </row>
    <row r="482" spans="2:20" ht="16.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Q482" s="2"/>
      <c r="R482" s="2"/>
      <c r="S482" s="2"/>
      <c r="T482" s="2"/>
    </row>
    <row r="483" spans="2:20" ht="16.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Q483" s="2"/>
      <c r="R483" s="2"/>
      <c r="S483" s="2"/>
      <c r="T483" s="2"/>
    </row>
    <row r="484" spans="2:20" ht="16.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Q484" s="2"/>
      <c r="R484" s="2"/>
      <c r="S484" s="2"/>
      <c r="T484" s="2"/>
    </row>
    <row r="485" spans="2:20" ht="16.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Q485" s="2"/>
      <c r="R485" s="2"/>
      <c r="S485" s="2"/>
      <c r="T485" s="2"/>
    </row>
    <row r="486" spans="2:20" ht="16.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Q486" s="2"/>
      <c r="R486" s="2"/>
      <c r="S486" s="2"/>
      <c r="T486" s="2"/>
    </row>
    <row r="487" spans="2:20" ht="16.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Q487" s="2"/>
      <c r="R487" s="2"/>
      <c r="S487" s="2"/>
      <c r="T487" s="2"/>
    </row>
    <row r="488" spans="2:20" ht="16.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Q488" s="2"/>
      <c r="R488" s="2"/>
      <c r="S488" s="2"/>
      <c r="T488" s="2"/>
    </row>
    <row r="489" spans="2:20" ht="16.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Q489" s="2"/>
      <c r="R489" s="2"/>
      <c r="S489" s="2"/>
      <c r="T489" s="2"/>
    </row>
    <row r="490" spans="2:20" ht="16.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Q490" s="2"/>
      <c r="R490" s="2"/>
      <c r="S490" s="2"/>
      <c r="T490" s="2"/>
    </row>
    <row r="491" spans="2:20" ht="16.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Q491" s="2"/>
      <c r="R491" s="2"/>
      <c r="S491" s="2"/>
      <c r="T491" s="2"/>
    </row>
    <row r="492" spans="2:20" ht="16.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Q492" s="2"/>
      <c r="R492" s="2"/>
      <c r="S492" s="2"/>
      <c r="T492" s="2"/>
    </row>
    <row r="493" spans="2:20" ht="16.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Q493" s="2"/>
      <c r="R493" s="2"/>
      <c r="S493" s="2"/>
      <c r="T493" s="2"/>
    </row>
    <row r="494" spans="2:20" ht="16.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Q494" s="2"/>
      <c r="R494" s="2"/>
      <c r="S494" s="2"/>
      <c r="T494" s="2"/>
    </row>
    <row r="495" spans="2:20" ht="16.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Q495" s="2"/>
      <c r="R495" s="2"/>
      <c r="S495" s="2"/>
      <c r="T495" s="2"/>
    </row>
    <row r="496" spans="2:20" ht="16.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Q496" s="2"/>
      <c r="R496" s="2"/>
      <c r="S496" s="2"/>
      <c r="T496" s="2"/>
    </row>
    <row r="497" spans="2:20" ht="16.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Q497" s="2"/>
      <c r="R497" s="2"/>
      <c r="S497" s="2"/>
      <c r="T497" s="2"/>
    </row>
    <row r="498" spans="2:20" ht="16.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Q498" s="2"/>
      <c r="R498" s="2"/>
      <c r="S498" s="2"/>
      <c r="T498" s="2"/>
    </row>
    <row r="499" spans="2:20" ht="16.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Q499" s="2"/>
      <c r="R499" s="2"/>
      <c r="S499" s="2"/>
      <c r="T499" s="2"/>
    </row>
    <row r="500" spans="2:20" ht="16.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Q500" s="2"/>
      <c r="R500" s="2"/>
      <c r="S500" s="2"/>
      <c r="T500" s="2"/>
    </row>
    <row r="501" spans="2:20" ht="16.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Q501" s="2"/>
      <c r="R501" s="2"/>
      <c r="S501" s="2"/>
      <c r="T501" s="2"/>
    </row>
    <row r="502" spans="2:20" ht="16.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Q502" s="2"/>
      <c r="R502" s="2"/>
      <c r="S502" s="2"/>
      <c r="T502" s="2"/>
    </row>
    <row r="503" spans="2:20" ht="16.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Q503" s="2"/>
      <c r="R503" s="2"/>
      <c r="S503" s="2"/>
      <c r="T503" s="2"/>
    </row>
    <row r="504" spans="2:20" ht="16.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Q504" s="2"/>
      <c r="R504" s="2"/>
      <c r="S504" s="2"/>
      <c r="T504" s="2"/>
    </row>
    <row r="505" spans="2:20" ht="16.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Q505" s="2"/>
      <c r="R505" s="2"/>
      <c r="S505" s="2"/>
      <c r="T505" s="2"/>
    </row>
    <row r="506" spans="2:20" ht="16.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Q506" s="2"/>
      <c r="R506" s="2"/>
      <c r="S506" s="2"/>
      <c r="T506" s="2"/>
    </row>
    <row r="507" spans="2:20" ht="16.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Q507" s="2"/>
      <c r="R507" s="2"/>
      <c r="S507" s="2"/>
      <c r="T507" s="2"/>
    </row>
    <row r="508" spans="2:20" ht="16.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Q508" s="2"/>
      <c r="R508" s="2"/>
      <c r="S508" s="2"/>
      <c r="T508" s="2"/>
    </row>
    <row r="509" spans="2:20" ht="16.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Q509" s="2"/>
      <c r="R509" s="2"/>
      <c r="S509" s="2"/>
      <c r="T509" s="2"/>
    </row>
    <row r="510" spans="2:20" ht="16.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Q510" s="2"/>
      <c r="R510" s="2"/>
      <c r="S510" s="2"/>
      <c r="T510" s="2"/>
    </row>
    <row r="511" spans="2:20" ht="16.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Q511" s="2"/>
      <c r="R511" s="2"/>
      <c r="S511" s="2"/>
      <c r="T511" s="2"/>
    </row>
    <row r="512" spans="2:20" ht="16.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Q512" s="2"/>
      <c r="R512" s="2"/>
      <c r="S512" s="2"/>
      <c r="T512" s="2"/>
    </row>
    <row r="513" spans="2:20" ht="16.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Q513" s="2"/>
      <c r="R513" s="2"/>
      <c r="S513" s="2"/>
      <c r="T513" s="2"/>
    </row>
    <row r="514" spans="2:20" ht="16.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Q514" s="2"/>
      <c r="R514" s="2"/>
      <c r="S514" s="2"/>
      <c r="T514" s="2"/>
    </row>
    <row r="515" spans="2:20" ht="16.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Q515" s="2"/>
      <c r="R515" s="2"/>
      <c r="S515" s="2"/>
      <c r="T515" s="2"/>
    </row>
    <row r="516" spans="2:20" ht="16.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Q516" s="2"/>
      <c r="R516" s="2"/>
      <c r="S516" s="2"/>
      <c r="T516" s="2"/>
    </row>
    <row r="517" spans="2:20" ht="16.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Q517" s="2"/>
      <c r="R517" s="2"/>
      <c r="S517" s="2"/>
      <c r="T517" s="2"/>
    </row>
    <row r="518" spans="2:20" ht="16.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Q518" s="2"/>
      <c r="R518" s="2"/>
      <c r="S518" s="2"/>
      <c r="T518" s="2"/>
    </row>
    <row r="519" spans="2:20" ht="16.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Q519" s="2"/>
      <c r="R519" s="2"/>
      <c r="S519" s="2"/>
      <c r="T519" s="2"/>
    </row>
    <row r="520" spans="2:20" ht="16.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Q520" s="2"/>
      <c r="R520" s="2"/>
      <c r="S520" s="2"/>
      <c r="T520" s="2"/>
    </row>
    <row r="521" spans="2:20" ht="16.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Q521" s="2"/>
      <c r="R521" s="2"/>
      <c r="S521" s="2"/>
      <c r="T521" s="2"/>
    </row>
    <row r="522" spans="2:20" ht="16.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Q522" s="2"/>
      <c r="R522" s="2"/>
      <c r="S522" s="2"/>
      <c r="T522" s="2"/>
    </row>
    <row r="523" spans="2:20" ht="16.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Q523" s="2"/>
      <c r="R523" s="2"/>
      <c r="S523" s="2"/>
      <c r="T523" s="2"/>
    </row>
    <row r="524" spans="2:20" ht="16.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Q524" s="2"/>
      <c r="R524" s="2"/>
      <c r="S524" s="2"/>
      <c r="T524" s="2"/>
    </row>
    <row r="525" spans="2:20" ht="16.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Q525" s="2"/>
      <c r="R525" s="2"/>
      <c r="S525" s="2"/>
      <c r="T525" s="2"/>
    </row>
    <row r="526" spans="2:20" ht="16.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Q526" s="2"/>
      <c r="R526" s="2"/>
      <c r="S526" s="2"/>
      <c r="T526" s="2"/>
    </row>
    <row r="527" spans="2:20" ht="16.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Q527" s="2"/>
      <c r="R527" s="2"/>
      <c r="S527" s="2"/>
      <c r="T527" s="2"/>
    </row>
    <row r="528" spans="2:20" ht="16.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Q528" s="2"/>
      <c r="R528" s="2"/>
      <c r="S528" s="2"/>
      <c r="T528" s="2"/>
    </row>
    <row r="529" spans="2:20" ht="16.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Q529" s="2"/>
      <c r="R529" s="2"/>
      <c r="S529" s="2"/>
      <c r="T529" s="2"/>
    </row>
    <row r="530" spans="2:20" ht="16.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Q530" s="2"/>
      <c r="R530" s="2"/>
      <c r="S530" s="2"/>
      <c r="T530" s="2"/>
    </row>
    <row r="531" spans="2:20" ht="16.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Q531" s="2"/>
      <c r="R531" s="2"/>
      <c r="S531" s="2"/>
      <c r="T531" s="2"/>
    </row>
    <row r="532" spans="2:20" ht="16.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Q532" s="2"/>
      <c r="R532" s="2"/>
      <c r="S532" s="2"/>
      <c r="T532" s="2"/>
    </row>
    <row r="533" spans="2:20" ht="16.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Q533" s="2"/>
      <c r="R533" s="2"/>
      <c r="S533" s="2"/>
      <c r="T533" s="2"/>
    </row>
    <row r="534" spans="2:20" ht="16.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Q534" s="2"/>
      <c r="R534" s="2"/>
      <c r="S534" s="2"/>
      <c r="T534" s="2"/>
    </row>
    <row r="535" spans="2:20" ht="16.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Q535" s="2"/>
      <c r="R535" s="2"/>
      <c r="S535" s="2"/>
      <c r="T535" s="2"/>
    </row>
    <row r="536" spans="2:20" ht="16.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Q536" s="2"/>
      <c r="R536" s="2"/>
      <c r="S536" s="2"/>
      <c r="T536" s="2"/>
    </row>
    <row r="537" spans="2:20" ht="16.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Q537" s="2"/>
      <c r="R537" s="2"/>
      <c r="S537" s="2"/>
      <c r="T537" s="2"/>
    </row>
    <row r="538" spans="2:20" ht="16.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Q538" s="2"/>
      <c r="R538" s="2"/>
      <c r="S538" s="2"/>
      <c r="T538" s="2"/>
    </row>
    <row r="539" spans="2:20" ht="16.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Q539" s="2"/>
      <c r="R539" s="2"/>
      <c r="S539" s="2"/>
      <c r="T539" s="2"/>
    </row>
    <row r="540" spans="2:20" ht="16.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Q540" s="2"/>
      <c r="R540" s="2"/>
      <c r="S540" s="2"/>
      <c r="T540" s="2"/>
    </row>
    <row r="541" spans="2:20" ht="16.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Q541" s="2"/>
      <c r="R541" s="2"/>
      <c r="S541" s="2"/>
      <c r="T541" s="2"/>
    </row>
    <row r="542" spans="2:20" ht="16.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Q542" s="2"/>
      <c r="R542" s="2"/>
      <c r="S542" s="2"/>
      <c r="T542" s="2"/>
    </row>
    <row r="543" spans="2:20" ht="16.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Q543" s="2"/>
      <c r="R543" s="2"/>
      <c r="S543" s="2"/>
      <c r="T543" s="2"/>
    </row>
    <row r="544" spans="2:20" ht="16.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Q544" s="2"/>
      <c r="R544" s="2"/>
      <c r="S544" s="2"/>
      <c r="T544" s="2"/>
    </row>
    <row r="545" spans="2:20" ht="16.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Q545" s="2"/>
      <c r="R545" s="2"/>
      <c r="S545" s="2"/>
      <c r="T545" s="2"/>
    </row>
    <row r="546" spans="2:20" ht="16.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Q546" s="2"/>
      <c r="R546" s="2"/>
      <c r="S546" s="2"/>
      <c r="T546" s="2"/>
    </row>
    <row r="547" spans="2:20" ht="16.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Q547" s="2"/>
      <c r="R547" s="2"/>
      <c r="S547" s="2"/>
      <c r="T547" s="2"/>
    </row>
    <row r="548" spans="2:20" ht="16.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Q548" s="2"/>
      <c r="R548" s="2"/>
      <c r="S548" s="2"/>
      <c r="T548" s="2"/>
    </row>
    <row r="549" spans="2:20" ht="16.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Q549" s="2"/>
      <c r="R549" s="2"/>
      <c r="S549" s="2"/>
      <c r="T549" s="2"/>
    </row>
    <row r="550" spans="2:20" ht="16.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Q550" s="2"/>
      <c r="R550" s="2"/>
      <c r="S550" s="2"/>
      <c r="T550" s="2"/>
    </row>
    <row r="551" spans="2:20" ht="16.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Q551" s="2"/>
      <c r="R551" s="2"/>
      <c r="S551" s="2"/>
      <c r="T551" s="2"/>
    </row>
    <row r="552" spans="2:20" ht="16.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Q552" s="2"/>
      <c r="R552" s="2"/>
      <c r="S552" s="2"/>
      <c r="T552" s="2"/>
    </row>
    <row r="553" spans="2:20" ht="16.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Q553" s="2"/>
      <c r="R553" s="2"/>
      <c r="S553" s="2"/>
      <c r="T553" s="2"/>
    </row>
    <row r="554" spans="2:20" ht="16.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Q554" s="2"/>
      <c r="R554" s="2"/>
      <c r="S554" s="2"/>
      <c r="T554" s="2"/>
    </row>
    <row r="555" spans="2:20" ht="16.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Q555" s="2"/>
      <c r="R555" s="2"/>
      <c r="S555" s="2"/>
      <c r="T555" s="2"/>
    </row>
    <row r="556" spans="2:20" ht="16.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Q556" s="2"/>
      <c r="R556" s="2"/>
      <c r="S556" s="2"/>
      <c r="T556" s="2"/>
    </row>
    <row r="557" spans="2:20" ht="16.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Q557" s="2"/>
      <c r="R557" s="2"/>
      <c r="S557" s="2"/>
      <c r="T557" s="2"/>
    </row>
    <row r="558" spans="2:20" ht="16.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Q558" s="2"/>
      <c r="R558" s="2"/>
      <c r="S558" s="2"/>
      <c r="T558" s="2"/>
    </row>
    <row r="559" spans="2:20" ht="16.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Q559" s="2"/>
      <c r="R559" s="2"/>
      <c r="S559" s="2"/>
      <c r="T559" s="2"/>
    </row>
    <row r="560" spans="2:20" ht="16.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Q560" s="2"/>
      <c r="R560" s="2"/>
      <c r="S560" s="2"/>
      <c r="T560" s="2"/>
    </row>
    <row r="561" spans="2:20" ht="16.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Q561" s="2"/>
      <c r="R561" s="2"/>
      <c r="S561" s="2"/>
      <c r="T561" s="2"/>
    </row>
    <row r="562" spans="2:20" ht="16.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Q562" s="2"/>
      <c r="R562" s="2"/>
      <c r="S562" s="2"/>
      <c r="T562" s="2"/>
    </row>
    <row r="563" spans="2:20" ht="16.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Q563" s="2"/>
      <c r="R563" s="2"/>
      <c r="S563" s="2"/>
      <c r="T563" s="2"/>
    </row>
    <row r="564" spans="2:20" ht="16.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Q564" s="2"/>
      <c r="R564" s="2"/>
      <c r="S564" s="2"/>
      <c r="T564" s="2"/>
    </row>
    <row r="565" spans="2:20" ht="16.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Q565" s="2"/>
      <c r="R565" s="2"/>
      <c r="S565" s="2"/>
      <c r="T565" s="2"/>
    </row>
    <row r="566" spans="2:20" ht="16.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Q566" s="2"/>
      <c r="R566" s="2"/>
      <c r="S566" s="2"/>
      <c r="T566" s="2"/>
    </row>
    <row r="567" spans="2:20" ht="16.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Q567" s="2"/>
      <c r="R567" s="2"/>
      <c r="S567" s="2"/>
      <c r="T567" s="2"/>
    </row>
    <row r="568" spans="2:20" ht="16.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Q568" s="2"/>
      <c r="R568" s="2"/>
      <c r="S568" s="2"/>
      <c r="T568" s="2"/>
    </row>
    <row r="569" spans="2:20" ht="16.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Q569" s="2"/>
      <c r="R569" s="2"/>
      <c r="S569" s="2"/>
      <c r="T569" s="2"/>
    </row>
    <row r="570" spans="2:20" ht="16.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Q570" s="2"/>
      <c r="R570" s="2"/>
      <c r="S570" s="2"/>
      <c r="T570" s="2"/>
    </row>
    <row r="571" spans="2:20" ht="16.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Q571" s="2"/>
      <c r="R571" s="2"/>
      <c r="S571" s="2"/>
      <c r="T571" s="2"/>
    </row>
    <row r="572" spans="2:20" ht="16.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Q572" s="2"/>
      <c r="R572" s="2"/>
      <c r="S572" s="2"/>
      <c r="T572" s="2"/>
    </row>
    <row r="573" spans="2:20" ht="16.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Q573" s="2"/>
      <c r="R573" s="2"/>
      <c r="S573" s="2"/>
      <c r="T573" s="2"/>
    </row>
    <row r="574" spans="2:20" ht="16.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Q574" s="2"/>
      <c r="R574" s="2"/>
      <c r="S574" s="2"/>
      <c r="T574" s="2"/>
    </row>
    <row r="575" spans="2:20" ht="16.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Q575" s="2"/>
      <c r="R575" s="2"/>
      <c r="S575" s="2"/>
      <c r="T575" s="2"/>
    </row>
    <row r="576" spans="2:20" ht="16.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Q576" s="2"/>
      <c r="R576" s="2"/>
      <c r="S576" s="2"/>
      <c r="T576" s="2"/>
    </row>
    <row r="577" spans="2:20" ht="16.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Q577" s="2"/>
      <c r="R577" s="2"/>
      <c r="S577" s="2"/>
      <c r="T577" s="2"/>
    </row>
    <row r="578" spans="2:20" ht="16.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Q578" s="2"/>
      <c r="R578" s="2"/>
      <c r="S578" s="2"/>
      <c r="T578" s="2"/>
    </row>
    <row r="579" spans="2:20" ht="16.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Q579" s="2"/>
      <c r="R579" s="2"/>
      <c r="S579" s="2"/>
      <c r="T579" s="2"/>
    </row>
    <row r="580" spans="2:20" ht="16.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Q580" s="2"/>
      <c r="R580" s="2"/>
      <c r="S580" s="2"/>
      <c r="T580" s="2"/>
    </row>
    <row r="581" spans="2:20" ht="16.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Q581" s="2"/>
      <c r="R581" s="2"/>
      <c r="S581" s="2"/>
      <c r="T581" s="2"/>
    </row>
    <row r="582" spans="2:20" ht="16.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Q582" s="2"/>
      <c r="R582" s="2"/>
      <c r="S582" s="2"/>
      <c r="T582" s="2"/>
    </row>
    <row r="583" spans="2:20" ht="16.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Q583" s="2"/>
      <c r="R583" s="2"/>
      <c r="S583" s="2"/>
      <c r="T583" s="2"/>
    </row>
    <row r="584" spans="2:20" ht="16.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Q584" s="2"/>
      <c r="R584" s="2"/>
      <c r="S584" s="2"/>
      <c r="T584" s="2"/>
    </row>
    <row r="585" spans="2:20" ht="16.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Q585" s="2"/>
      <c r="R585" s="2"/>
      <c r="S585" s="2"/>
      <c r="T585" s="2"/>
    </row>
    <row r="586" spans="2:20" ht="16.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Q586" s="2"/>
      <c r="R586" s="2"/>
      <c r="S586" s="2"/>
      <c r="T586" s="2"/>
    </row>
    <row r="587" spans="2:20" ht="16.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Q587" s="2"/>
      <c r="R587" s="2"/>
      <c r="S587" s="2"/>
      <c r="T587" s="2"/>
    </row>
    <row r="588" spans="2:20" ht="16.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Q588" s="2"/>
      <c r="R588" s="2"/>
      <c r="S588" s="2"/>
      <c r="T588" s="2"/>
    </row>
    <row r="589" spans="2:20" ht="16.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Q589" s="2"/>
      <c r="R589" s="2"/>
      <c r="S589" s="2"/>
      <c r="T589" s="2"/>
    </row>
    <row r="590" spans="2:20" ht="16.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Q590" s="2"/>
      <c r="R590" s="2"/>
      <c r="S590" s="2"/>
      <c r="T590" s="2"/>
    </row>
    <row r="591" spans="2:20" ht="16.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Q591" s="2"/>
      <c r="R591" s="2"/>
      <c r="S591" s="2"/>
      <c r="T591" s="2"/>
    </row>
    <row r="592" spans="2:20" ht="16.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Q592" s="2"/>
      <c r="R592" s="2"/>
      <c r="S592" s="2"/>
      <c r="T592" s="2"/>
    </row>
    <row r="593" spans="2:20" ht="16.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Q593" s="2"/>
      <c r="R593" s="2"/>
      <c r="S593" s="2"/>
      <c r="T593" s="2"/>
    </row>
    <row r="594" spans="2:20" ht="16.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Q594" s="2"/>
      <c r="R594" s="2"/>
      <c r="S594" s="2"/>
      <c r="T594" s="2"/>
    </row>
    <row r="595" spans="2:20" ht="16.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Q595" s="2"/>
      <c r="R595" s="2"/>
      <c r="S595" s="2"/>
      <c r="T595" s="2"/>
    </row>
    <row r="596" spans="2:20" ht="16.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Q596" s="2"/>
      <c r="R596" s="2"/>
      <c r="S596" s="2"/>
      <c r="T596" s="2"/>
    </row>
    <row r="597" spans="2:20" ht="16.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Q597" s="2"/>
      <c r="R597" s="2"/>
      <c r="S597" s="2"/>
      <c r="T597" s="2"/>
    </row>
    <row r="598" spans="2:20" ht="16.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Q598" s="2"/>
      <c r="R598" s="2"/>
      <c r="S598" s="2"/>
      <c r="T598" s="2"/>
    </row>
    <row r="599" spans="2:20" ht="16.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Q599" s="2"/>
      <c r="R599" s="2"/>
      <c r="S599" s="2"/>
      <c r="T599" s="2"/>
    </row>
    <row r="600" spans="2:20" ht="16.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Q600" s="2"/>
      <c r="R600" s="2"/>
      <c r="S600" s="2"/>
      <c r="T600" s="2"/>
    </row>
    <row r="601" spans="2:20" ht="16.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Q601" s="2"/>
      <c r="R601" s="2"/>
      <c r="S601" s="2"/>
      <c r="T601" s="2"/>
    </row>
    <row r="602" spans="2:20" ht="16.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Q602" s="2"/>
      <c r="R602" s="2"/>
      <c r="S602" s="2"/>
      <c r="T602" s="2"/>
    </row>
    <row r="603" spans="2:20" ht="16.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Q603" s="2"/>
      <c r="R603" s="2"/>
      <c r="S603" s="2"/>
      <c r="T603" s="2"/>
    </row>
    <row r="604" spans="2:20" ht="16.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Q604" s="2"/>
      <c r="R604" s="2"/>
      <c r="S604" s="2"/>
      <c r="T604" s="2"/>
    </row>
    <row r="605" spans="2:20" ht="16.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Q605" s="2"/>
      <c r="R605" s="2"/>
      <c r="S605" s="2"/>
      <c r="T605" s="2"/>
    </row>
    <row r="606" spans="2:20" ht="16.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Q606" s="2"/>
      <c r="R606" s="2"/>
      <c r="S606" s="2"/>
      <c r="T606" s="2"/>
    </row>
    <row r="607" spans="2:20" ht="16.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Q607" s="2"/>
      <c r="R607" s="2"/>
      <c r="S607" s="2"/>
      <c r="T607" s="2"/>
    </row>
    <row r="608" spans="2:20" ht="16.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Q608" s="2"/>
      <c r="R608" s="2"/>
      <c r="S608" s="2"/>
      <c r="T608" s="2"/>
    </row>
    <row r="609" spans="2:20" ht="16.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Q609" s="2"/>
      <c r="R609" s="2"/>
      <c r="S609" s="2"/>
      <c r="T609" s="2"/>
    </row>
    <row r="610" spans="2:20" ht="16.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Q610" s="2"/>
      <c r="R610" s="2"/>
      <c r="S610" s="2"/>
      <c r="T610" s="2"/>
    </row>
    <row r="611" spans="2:20" ht="16.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Q611" s="2"/>
      <c r="R611" s="2"/>
      <c r="S611" s="2"/>
      <c r="T611" s="2"/>
    </row>
    <row r="612" spans="2:20" ht="16.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Q612" s="2"/>
      <c r="R612" s="2"/>
      <c r="S612" s="2"/>
      <c r="T612" s="2"/>
    </row>
    <row r="613" spans="2:20" ht="16.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Q613" s="2"/>
      <c r="R613" s="2"/>
      <c r="S613" s="2"/>
      <c r="T613" s="2"/>
    </row>
    <row r="614" spans="2:20" ht="16.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Q614" s="2"/>
      <c r="R614" s="2"/>
      <c r="S614" s="2"/>
      <c r="T614" s="2"/>
    </row>
    <row r="615" spans="2:20" ht="16.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Q615" s="2"/>
      <c r="R615" s="2"/>
      <c r="S615" s="2"/>
      <c r="T615" s="2"/>
    </row>
    <row r="616" spans="2:20" ht="16.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Q616" s="2"/>
      <c r="R616" s="2"/>
      <c r="S616" s="2"/>
      <c r="T616" s="2"/>
    </row>
    <row r="617" spans="2:20" ht="16.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Q617" s="2"/>
      <c r="R617" s="2"/>
      <c r="S617" s="2"/>
      <c r="T617" s="2"/>
    </row>
    <row r="618" spans="2:20" ht="16.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Q618" s="2"/>
      <c r="R618" s="2"/>
      <c r="S618" s="2"/>
      <c r="T618" s="2"/>
    </row>
    <row r="619" spans="2:20" ht="16.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Q619" s="2"/>
      <c r="R619" s="2"/>
      <c r="S619" s="2"/>
      <c r="T619" s="2"/>
    </row>
    <row r="620" spans="2:20" ht="16.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Q620" s="2"/>
      <c r="R620" s="2"/>
      <c r="S620" s="2"/>
      <c r="T620" s="2"/>
    </row>
    <row r="621" spans="2:20" ht="16.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Q621" s="2"/>
      <c r="R621" s="2"/>
      <c r="S621" s="2"/>
      <c r="T621" s="2"/>
    </row>
    <row r="622" spans="2:20" ht="16.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Q622" s="2"/>
      <c r="R622" s="2"/>
      <c r="S622" s="2"/>
      <c r="T622" s="2"/>
    </row>
    <row r="623" spans="2:20" ht="16.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Q623" s="2"/>
      <c r="R623" s="2"/>
      <c r="S623" s="2"/>
      <c r="T623" s="2"/>
    </row>
    <row r="624" spans="2:20" ht="16.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Q624" s="2"/>
      <c r="R624" s="2"/>
      <c r="S624" s="2"/>
      <c r="T624" s="2"/>
    </row>
    <row r="625" spans="2:20" ht="16.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Q625" s="2"/>
      <c r="R625" s="2"/>
      <c r="S625" s="2"/>
      <c r="T625" s="2"/>
    </row>
    <row r="626" spans="2:20" ht="16.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Q626" s="2"/>
      <c r="R626" s="2"/>
      <c r="S626" s="2"/>
      <c r="T626" s="2"/>
    </row>
    <row r="627" spans="2:20" ht="16.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Q627" s="2"/>
      <c r="R627" s="2"/>
      <c r="S627" s="2"/>
      <c r="T627" s="2"/>
    </row>
    <row r="628" spans="2:20" ht="16.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Q628" s="2"/>
      <c r="R628" s="2"/>
      <c r="S628" s="2"/>
      <c r="T628" s="2"/>
    </row>
    <row r="629" spans="2:20" ht="16.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Q629" s="2"/>
      <c r="R629" s="2"/>
      <c r="S629" s="2"/>
      <c r="T629" s="2"/>
    </row>
    <row r="630" spans="2:20" ht="16.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Q630" s="2"/>
      <c r="R630" s="2"/>
      <c r="S630" s="2"/>
      <c r="T630" s="2"/>
    </row>
    <row r="631" spans="2:20" ht="16.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Q631" s="2"/>
      <c r="R631" s="2"/>
      <c r="S631" s="2"/>
      <c r="T631" s="2"/>
    </row>
    <row r="632" spans="2:20" ht="16.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Q632" s="2"/>
      <c r="R632" s="2"/>
      <c r="S632" s="2"/>
      <c r="T632" s="2"/>
    </row>
    <row r="633" spans="2:20" ht="16.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Q633" s="2"/>
      <c r="R633" s="2"/>
      <c r="S633" s="2"/>
      <c r="T633" s="2"/>
    </row>
    <row r="634" spans="2:20" ht="16.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Q634" s="2"/>
      <c r="R634" s="2"/>
      <c r="S634" s="2"/>
      <c r="T634" s="2"/>
    </row>
    <row r="635" spans="2:20" ht="16.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Q635" s="2"/>
      <c r="R635" s="2"/>
      <c r="S635" s="2"/>
      <c r="T635" s="2"/>
    </row>
    <row r="636" spans="2:20" ht="16.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Q636" s="2"/>
      <c r="R636" s="2"/>
      <c r="S636" s="2"/>
      <c r="T636" s="2"/>
    </row>
    <row r="637" spans="2:20" ht="16.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Q637" s="2"/>
      <c r="R637" s="2"/>
      <c r="S637" s="2"/>
      <c r="T637" s="2"/>
    </row>
    <row r="638" spans="2:20" ht="16.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Q638" s="2"/>
      <c r="R638" s="2"/>
      <c r="S638" s="2"/>
      <c r="T638" s="2"/>
    </row>
    <row r="639" spans="2:20" ht="16.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Q639" s="2"/>
      <c r="R639" s="2"/>
      <c r="S639" s="2"/>
      <c r="T639" s="2"/>
    </row>
    <row r="640" spans="2:20" ht="16.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Q640" s="2"/>
      <c r="R640" s="2"/>
      <c r="S640" s="2"/>
      <c r="T640" s="2"/>
    </row>
    <row r="641" spans="2:20" ht="16.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Q641" s="2"/>
      <c r="R641" s="2"/>
      <c r="S641" s="2"/>
      <c r="T641" s="2"/>
    </row>
    <row r="642" spans="2:20" ht="16.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Q642" s="2"/>
      <c r="R642" s="2"/>
      <c r="S642" s="2"/>
      <c r="T642" s="2"/>
    </row>
    <row r="643" spans="2:20" ht="16.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Q643" s="2"/>
      <c r="R643" s="2"/>
      <c r="S643" s="2"/>
      <c r="T643" s="2"/>
    </row>
    <row r="644" spans="2:20" ht="16.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Q644" s="2"/>
      <c r="R644" s="2"/>
      <c r="S644" s="2"/>
      <c r="T644" s="2"/>
    </row>
    <row r="645" spans="2:20" ht="16.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Q645" s="2"/>
      <c r="R645" s="2"/>
      <c r="S645" s="2"/>
      <c r="T645" s="2"/>
    </row>
    <row r="646" spans="2:20" ht="16.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Q646" s="2"/>
      <c r="R646" s="2"/>
      <c r="S646" s="2"/>
      <c r="T646" s="2"/>
    </row>
    <row r="647" spans="2:20" ht="16.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Q647" s="2"/>
      <c r="R647" s="2"/>
      <c r="S647" s="2"/>
      <c r="T647" s="2"/>
    </row>
    <row r="648" spans="2:20" ht="16.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Q648" s="2"/>
      <c r="R648" s="2"/>
      <c r="S648" s="2"/>
      <c r="T648" s="2"/>
    </row>
    <row r="649" spans="2:20" ht="16.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Q649" s="2"/>
      <c r="R649" s="2"/>
      <c r="S649" s="2"/>
      <c r="T649" s="2"/>
    </row>
    <row r="650" spans="2:20" ht="16.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Q650" s="2"/>
      <c r="R650" s="2"/>
      <c r="S650" s="2"/>
      <c r="T650" s="2"/>
    </row>
    <row r="651" spans="2:20" ht="16.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Q651" s="2"/>
      <c r="R651" s="2"/>
      <c r="S651" s="2"/>
      <c r="T651" s="2"/>
    </row>
    <row r="652" spans="2:20" ht="16.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Q652" s="2"/>
      <c r="R652" s="2"/>
      <c r="S652" s="2"/>
      <c r="T652" s="2"/>
    </row>
    <row r="653" spans="2:20" ht="16.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Q653" s="2"/>
      <c r="R653" s="2"/>
      <c r="S653" s="2"/>
      <c r="T653" s="2"/>
    </row>
    <row r="654" spans="2:20" ht="16.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Q654" s="2"/>
      <c r="R654" s="2"/>
      <c r="S654" s="2"/>
      <c r="T654" s="2"/>
    </row>
    <row r="655" spans="2:20" ht="16.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Q655" s="2"/>
      <c r="R655" s="2"/>
      <c r="S655" s="2"/>
      <c r="T655" s="2"/>
    </row>
    <row r="656" spans="2:20" ht="16.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Q656" s="2"/>
      <c r="R656" s="2"/>
      <c r="S656" s="2"/>
      <c r="T656" s="2"/>
    </row>
    <row r="657" spans="2:20" ht="16.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Q657" s="2"/>
      <c r="R657" s="2"/>
      <c r="S657" s="2"/>
      <c r="T657" s="2"/>
    </row>
    <row r="658" spans="2:20" ht="16.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Q658" s="2"/>
      <c r="R658" s="2"/>
      <c r="S658" s="2"/>
      <c r="T658" s="2"/>
    </row>
    <row r="659" spans="2:20" ht="16.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Q659" s="2"/>
      <c r="R659" s="2"/>
      <c r="S659" s="2"/>
      <c r="T659" s="2"/>
    </row>
    <row r="660" spans="2:20" ht="16.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Q660" s="2"/>
      <c r="R660" s="2"/>
      <c r="S660" s="2"/>
      <c r="T660" s="2"/>
    </row>
    <row r="661" spans="2:20" ht="16.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Q661" s="2"/>
      <c r="R661" s="2"/>
      <c r="S661" s="2"/>
      <c r="T661" s="2"/>
    </row>
    <row r="662" spans="2:20" ht="16.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Q662" s="2"/>
      <c r="R662" s="2"/>
      <c r="S662" s="2"/>
      <c r="T662" s="2"/>
    </row>
    <row r="663" spans="2:20" ht="16.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Q663" s="2"/>
      <c r="R663" s="2"/>
      <c r="S663" s="2"/>
      <c r="T663" s="2"/>
    </row>
    <row r="664" spans="2:20" ht="16.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Q664" s="2"/>
      <c r="R664" s="2"/>
      <c r="S664" s="2"/>
      <c r="T664" s="2"/>
    </row>
    <row r="665" spans="2:20" ht="16.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Q665" s="2"/>
      <c r="R665" s="2"/>
      <c r="S665" s="2"/>
      <c r="T665" s="2"/>
    </row>
    <row r="666" spans="2:20" ht="16.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Q666" s="2"/>
      <c r="R666" s="2"/>
      <c r="S666" s="2"/>
      <c r="T666" s="2"/>
    </row>
    <row r="667" spans="2:20" ht="16.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Q667" s="2"/>
      <c r="R667" s="2"/>
      <c r="S667" s="2"/>
      <c r="T667" s="2"/>
    </row>
    <row r="668" spans="2:20" ht="16.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Q668" s="2"/>
      <c r="R668" s="2"/>
      <c r="S668" s="2"/>
      <c r="T668" s="2"/>
    </row>
    <row r="669" spans="2:20" ht="16.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Q669" s="2"/>
      <c r="R669" s="2"/>
      <c r="S669" s="2"/>
      <c r="T669" s="2"/>
    </row>
    <row r="670" spans="2:20" ht="16.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Q670" s="2"/>
      <c r="R670" s="2"/>
      <c r="S670" s="2"/>
      <c r="T670" s="2"/>
    </row>
    <row r="671" spans="2:20" ht="16.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Q671" s="2"/>
      <c r="R671" s="2"/>
      <c r="S671" s="2"/>
      <c r="T671" s="2"/>
    </row>
    <row r="672" spans="2:20" ht="16.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Q672" s="2"/>
      <c r="R672" s="2"/>
      <c r="S672" s="2"/>
      <c r="T672" s="2"/>
    </row>
    <row r="673" spans="2:20" ht="16.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Q673" s="2"/>
      <c r="R673" s="2"/>
      <c r="S673" s="2"/>
      <c r="T673" s="2"/>
    </row>
    <row r="674" spans="2:20" ht="16.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Q674" s="2"/>
      <c r="R674" s="2"/>
      <c r="S674" s="2"/>
      <c r="T674" s="2"/>
    </row>
    <row r="675" spans="2:20" ht="16.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Q675" s="2"/>
      <c r="R675" s="2"/>
      <c r="S675" s="2"/>
      <c r="T675" s="2"/>
    </row>
    <row r="676" spans="2:20" ht="16.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Q676" s="2"/>
      <c r="R676" s="2"/>
      <c r="S676" s="2"/>
      <c r="T676" s="2"/>
    </row>
    <row r="677" spans="2:20" ht="16.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Q677" s="2"/>
      <c r="R677" s="2"/>
      <c r="S677" s="2"/>
      <c r="T677" s="2"/>
    </row>
    <row r="678" spans="2:20" ht="16.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Q678" s="2"/>
      <c r="R678" s="2"/>
      <c r="S678" s="2"/>
      <c r="T678" s="2"/>
    </row>
    <row r="679" spans="2:20" ht="16.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Q679" s="2"/>
      <c r="R679" s="2"/>
      <c r="S679" s="2"/>
      <c r="T679" s="2"/>
    </row>
    <row r="680" spans="2:20" ht="16.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Q680" s="2"/>
      <c r="R680" s="2"/>
      <c r="S680" s="2"/>
      <c r="T680" s="2"/>
    </row>
    <row r="681" spans="2:20" ht="16.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Q681" s="2"/>
      <c r="R681" s="2"/>
      <c r="S681" s="2"/>
      <c r="T681" s="2"/>
    </row>
    <row r="682" spans="2:20" ht="16.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Q682" s="2"/>
      <c r="R682" s="2"/>
      <c r="S682" s="2"/>
      <c r="T682" s="2"/>
    </row>
    <row r="683" spans="2:20" ht="16.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Q683" s="2"/>
      <c r="R683" s="2"/>
      <c r="S683" s="2"/>
      <c r="T683" s="2"/>
    </row>
    <row r="684" spans="2:20" ht="16.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Q684" s="2"/>
      <c r="R684" s="2"/>
      <c r="S684" s="2"/>
      <c r="T684" s="2"/>
    </row>
    <row r="685" spans="2:20" ht="16.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Q685" s="2"/>
      <c r="R685" s="2"/>
      <c r="S685" s="2"/>
      <c r="T685" s="2"/>
    </row>
    <row r="686" spans="2:20" ht="16.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Q686" s="2"/>
      <c r="R686" s="2"/>
      <c r="S686" s="2"/>
      <c r="T686" s="2"/>
    </row>
    <row r="687" spans="2:20" ht="16.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Q687" s="2"/>
      <c r="R687" s="2"/>
      <c r="S687" s="2"/>
      <c r="T687" s="2"/>
    </row>
    <row r="688" spans="2:20" ht="16.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Q688" s="2"/>
      <c r="R688" s="2"/>
      <c r="S688" s="2"/>
      <c r="T688" s="2"/>
    </row>
    <row r="689" spans="2:20" ht="16.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Q689" s="2"/>
      <c r="R689" s="2"/>
      <c r="S689" s="2"/>
      <c r="T689" s="2"/>
    </row>
    <row r="690" spans="2:20" ht="16.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Q690" s="2"/>
      <c r="R690" s="2"/>
      <c r="S690" s="2"/>
      <c r="T690" s="2"/>
    </row>
    <row r="691" spans="2:20" ht="16.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Q691" s="2"/>
      <c r="R691" s="2"/>
      <c r="S691" s="2"/>
      <c r="T691" s="2"/>
    </row>
    <row r="692" spans="2:20" ht="16.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Q692" s="2"/>
      <c r="R692" s="2"/>
      <c r="S692" s="2"/>
      <c r="T692" s="2"/>
    </row>
    <row r="693" spans="2:20" ht="16.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Q693" s="2"/>
      <c r="R693" s="2"/>
      <c r="S693" s="2"/>
      <c r="T693" s="2"/>
    </row>
    <row r="694" spans="2:20" ht="16.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Q694" s="2"/>
      <c r="R694" s="2"/>
      <c r="S694" s="2"/>
      <c r="T694" s="2"/>
    </row>
    <row r="695" spans="2:20" ht="16.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Q695" s="2"/>
      <c r="R695" s="2"/>
      <c r="S695" s="2"/>
      <c r="T695" s="2"/>
    </row>
    <row r="696" spans="2:20" ht="16.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Q696" s="2"/>
      <c r="R696" s="2"/>
      <c r="S696" s="2"/>
      <c r="T696" s="2"/>
    </row>
    <row r="697" spans="2:20" ht="16.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Q697" s="2"/>
      <c r="R697" s="2"/>
      <c r="S697" s="2"/>
      <c r="T697" s="2"/>
    </row>
    <row r="698" spans="2:20" ht="16.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Q698" s="2"/>
      <c r="R698" s="2"/>
      <c r="S698" s="2"/>
      <c r="T698" s="2"/>
    </row>
    <row r="699" spans="2:20" ht="16.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Q699" s="2"/>
      <c r="R699" s="2"/>
      <c r="S699" s="2"/>
      <c r="T699" s="2"/>
    </row>
    <row r="700" spans="2:20" ht="16.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Q700" s="2"/>
      <c r="R700" s="2"/>
      <c r="S700" s="2"/>
      <c r="T700" s="2"/>
    </row>
    <row r="701" spans="2:20" ht="16.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Q701" s="2"/>
      <c r="R701" s="2"/>
      <c r="S701" s="2"/>
      <c r="T701" s="2"/>
    </row>
    <row r="702" spans="2:20" ht="16.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Q702" s="2"/>
      <c r="R702" s="2"/>
      <c r="S702" s="2"/>
      <c r="T702" s="2"/>
    </row>
    <row r="703" spans="2:20" ht="16.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Q703" s="2"/>
      <c r="R703" s="2"/>
      <c r="S703" s="2"/>
      <c r="T703" s="2"/>
    </row>
    <row r="704" spans="2:20" ht="16.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Q704" s="2"/>
      <c r="R704" s="2"/>
      <c r="S704" s="2"/>
      <c r="T704" s="2"/>
    </row>
    <row r="705" spans="2:20" ht="16.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Q705" s="2"/>
      <c r="R705" s="2"/>
      <c r="S705" s="2"/>
      <c r="T705" s="2"/>
    </row>
    <row r="706" spans="2:20" ht="16.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Q706" s="2"/>
      <c r="R706" s="2"/>
      <c r="S706" s="2"/>
      <c r="T706" s="2"/>
    </row>
    <row r="707" spans="2:20" ht="16.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Q707" s="2"/>
      <c r="R707" s="2"/>
      <c r="S707" s="2"/>
      <c r="T707" s="2"/>
    </row>
    <row r="708" spans="2:20" ht="16.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Q708" s="2"/>
      <c r="R708" s="2"/>
      <c r="S708" s="2"/>
      <c r="T708" s="2"/>
    </row>
    <row r="709" spans="2:20" ht="16.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Q709" s="2"/>
      <c r="R709" s="2"/>
      <c r="S709" s="2"/>
      <c r="T709" s="2"/>
    </row>
    <row r="710" spans="2:20" ht="16.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Q710" s="2"/>
      <c r="R710" s="2"/>
      <c r="S710" s="2"/>
      <c r="T710" s="2"/>
    </row>
    <row r="711" spans="2:20" ht="16.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Q711" s="2"/>
      <c r="R711" s="2"/>
      <c r="S711" s="2"/>
      <c r="T711" s="2"/>
    </row>
    <row r="712" spans="2:20" ht="16.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Q712" s="2"/>
      <c r="R712" s="2"/>
      <c r="S712" s="2"/>
      <c r="T712" s="2"/>
    </row>
    <row r="713" spans="2:20" ht="16.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Q713" s="2"/>
      <c r="R713" s="2"/>
      <c r="S713" s="2"/>
      <c r="T713" s="2"/>
    </row>
    <row r="714" spans="2:20" ht="16.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Q714" s="2"/>
      <c r="R714" s="2"/>
      <c r="S714" s="2"/>
      <c r="T714" s="2"/>
    </row>
    <row r="715" spans="2:20" ht="16.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Q715" s="2"/>
      <c r="R715" s="2"/>
      <c r="S715" s="2"/>
      <c r="T715" s="2"/>
    </row>
    <row r="716" spans="2:20" ht="16.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Q716" s="2"/>
      <c r="R716" s="2"/>
      <c r="S716" s="2"/>
      <c r="T716" s="2"/>
    </row>
    <row r="717" spans="2:20" ht="16.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Q717" s="2"/>
      <c r="R717" s="2"/>
      <c r="S717" s="2"/>
      <c r="T717" s="2"/>
    </row>
    <row r="718" spans="2:20" ht="16.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Q718" s="2"/>
      <c r="R718" s="2"/>
      <c r="S718" s="2"/>
      <c r="T718" s="2"/>
    </row>
    <row r="719" spans="2:20" ht="16.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Q719" s="2"/>
      <c r="R719" s="2"/>
      <c r="S719" s="2"/>
      <c r="T719" s="2"/>
    </row>
    <row r="720" spans="2:20" ht="16.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Q720" s="2"/>
      <c r="R720" s="2"/>
      <c r="S720" s="2"/>
      <c r="T720" s="2"/>
    </row>
    <row r="721" spans="2:20" ht="16.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Q721" s="2"/>
      <c r="R721" s="2"/>
      <c r="S721" s="2"/>
      <c r="T721" s="2"/>
    </row>
    <row r="722" spans="2:20" ht="16.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Q722" s="2"/>
      <c r="R722" s="2"/>
      <c r="S722" s="2"/>
      <c r="T722" s="2"/>
    </row>
    <row r="723" spans="2:20" ht="16.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Q723" s="2"/>
      <c r="R723" s="2"/>
      <c r="S723" s="2"/>
      <c r="T723" s="2"/>
    </row>
    <row r="724" spans="2:20" ht="16.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Q724" s="2"/>
      <c r="R724" s="2"/>
      <c r="S724" s="2"/>
      <c r="T724" s="2"/>
    </row>
    <row r="725" spans="2:20" ht="16.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Q725" s="2"/>
      <c r="R725" s="2"/>
      <c r="S725" s="2"/>
      <c r="T725" s="2"/>
    </row>
    <row r="726" spans="2:20" ht="16.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Q726" s="2"/>
      <c r="R726" s="2"/>
      <c r="S726" s="2"/>
      <c r="T726" s="2"/>
    </row>
    <row r="727" spans="2:20" ht="16.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Q727" s="2"/>
      <c r="R727" s="2"/>
      <c r="S727" s="2"/>
      <c r="T727" s="2"/>
    </row>
    <row r="728" spans="2:20" ht="16.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Q728" s="2"/>
      <c r="R728" s="2"/>
      <c r="S728" s="2"/>
      <c r="T728" s="2"/>
    </row>
    <row r="729" spans="2:20" ht="16.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Q729" s="2"/>
      <c r="R729" s="2"/>
      <c r="S729" s="2"/>
      <c r="T729" s="2"/>
    </row>
    <row r="730" spans="2:20" ht="16.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Q730" s="2"/>
      <c r="R730" s="2"/>
      <c r="S730" s="2"/>
      <c r="T730" s="2"/>
    </row>
    <row r="731" spans="2:20" ht="16.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Q731" s="2"/>
      <c r="R731" s="2"/>
      <c r="S731" s="2"/>
      <c r="T731" s="2"/>
    </row>
    <row r="732" spans="2:20" ht="16.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Q732" s="2"/>
      <c r="R732" s="2"/>
      <c r="S732" s="2"/>
      <c r="T732" s="2"/>
    </row>
    <row r="733" spans="2:20" ht="16.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Q733" s="2"/>
      <c r="R733" s="2"/>
      <c r="S733" s="2"/>
      <c r="T733" s="2"/>
    </row>
    <row r="734" spans="2:20" ht="16.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Q734" s="2"/>
      <c r="R734" s="2"/>
      <c r="S734" s="2"/>
      <c r="T734" s="2"/>
    </row>
    <row r="735" spans="2:20" ht="16.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Q735" s="2"/>
      <c r="R735" s="2"/>
      <c r="S735" s="2"/>
      <c r="T735" s="2"/>
    </row>
    <row r="736" spans="2:20" ht="16.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Q736" s="2"/>
      <c r="R736" s="2"/>
      <c r="S736" s="2"/>
      <c r="T736" s="2"/>
    </row>
    <row r="737" spans="2:20" ht="16.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Q737" s="2"/>
      <c r="R737" s="2"/>
      <c r="S737" s="2"/>
      <c r="T737" s="2"/>
    </row>
    <row r="738" spans="2:20" ht="16.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Q738" s="2"/>
      <c r="R738" s="2"/>
      <c r="S738" s="2"/>
      <c r="T738" s="2"/>
    </row>
    <row r="739" spans="2:20" ht="16.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Q739" s="2"/>
      <c r="R739" s="2"/>
      <c r="S739" s="2"/>
      <c r="T739" s="2"/>
    </row>
    <row r="740" spans="2:20" ht="16.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Q740" s="2"/>
      <c r="R740" s="2"/>
      <c r="S740" s="2"/>
      <c r="T740" s="2"/>
    </row>
    <row r="741" spans="2:20" ht="16.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Q741" s="2"/>
      <c r="R741" s="2"/>
      <c r="S741" s="2"/>
      <c r="T741" s="2"/>
    </row>
    <row r="742" spans="2:20" ht="16.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Q742" s="2"/>
      <c r="R742" s="2"/>
      <c r="S742" s="2"/>
      <c r="T742" s="2"/>
    </row>
    <row r="743" spans="2:20" ht="16.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Q743" s="2"/>
      <c r="R743" s="2"/>
      <c r="S743" s="2"/>
      <c r="T743" s="2"/>
    </row>
    <row r="744" spans="2:20" ht="16.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Q744" s="2"/>
      <c r="R744" s="2"/>
      <c r="S744" s="2"/>
      <c r="T744" s="2"/>
    </row>
    <row r="745" spans="2:20" ht="16.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Q745" s="2"/>
      <c r="R745" s="2"/>
      <c r="S745" s="2"/>
      <c r="T745" s="2"/>
    </row>
    <row r="746" spans="2:20" ht="16.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Q746" s="2"/>
      <c r="R746" s="2"/>
      <c r="S746" s="2"/>
      <c r="T746" s="2"/>
    </row>
    <row r="747" spans="2:20" ht="16.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Q747" s="2"/>
      <c r="R747" s="2"/>
      <c r="S747" s="2"/>
      <c r="T747" s="2"/>
    </row>
    <row r="748" spans="2:20" ht="16.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Q748" s="2"/>
      <c r="R748" s="2"/>
      <c r="S748" s="2"/>
      <c r="T748" s="2"/>
    </row>
    <row r="749" spans="2:20" ht="16.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Q749" s="2"/>
      <c r="R749" s="2"/>
      <c r="S749" s="2"/>
      <c r="T749" s="2"/>
    </row>
    <row r="750" spans="2:20" ht="16.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Q750" s="2"/>
      <c r="R750" s="2"/>
      <c r="S750" s="2"/>
      <c r="T750" s="2"/>
    </row>
    <row r="751" spans="2:20" ht="16.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Q751" s="2"/>
      <c r="R751" s="2"/>
      <c r="S751" s="2"/>
      <c r="T751" s="2"/>
    </row>
    <row r="752" spans="2:20" ht="16.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Q752" s="2"/>
      <c r="R752" s="2"/>
      <c r="S752" s="2"/>
      <c r="T752" s="2"/>
    </row>
    <row r="753" spans="2:20" ht="16.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Q753" s="2"/>
      <c r="R753" s="2"/>
      <c r="S753" s="2"/>
      <c r="T753" s="2"/>
    </row>
    <row r="754" spans="2:20" ht="16.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Q754" s="2"/>
      <c r="R754" s="2"/>
      <c r="S754" s="2"/>
      <c r="T754" s="2"/>
    </row>
    <row r="755" spans="2:20" ht="16.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Q755" s="2"/>
      <c r="R755" s="2"/>
      <c r="S755" s="2"/>
      <c r="T755" s="2"/>
    </row>
    <row r="756" spans="2:20" ht="16.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Q756" s="2"/>
      <c r="R756" s="2"/>
      <c r="S756" s="2"/>
      <c r="T756" s="2"/>
    </row>
    <row r="757" spans="2:20" ht="16.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Q757" s="2"/>
      <c r="R757" s="2"/>
      <c r="S757" s="2"/>
      <c r="T757" s="2"/>
    </row>
    <row r="758" spans="2:20" ht="16.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Q758" s="2"/>
      <c r="R758" s="2"/>
      <c r="S758" s="2"/>
      <c r="T758" s="2"/>
    </row>
    <row r="759" spans="2:20" ht="16.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Q759" s="2"/>
      <c r="R759" s="2"/>
      <c r="S759" s="2"/>
      <c r="T759" s="2"/>
    </row>
    <row r="760" spans="2:20" ht="16.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Q760" s="2"/>
      <c r="R760" s="2"/>
      <c r="S760" s="2"/>
      <c r="T760" s="2"/>
    </row>
    <row r="761" spans="2:20" ht="16.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Q761" s="2"/>
      <c r="R761" s="2"/>
      <c r="S761" s="2"/>
      <c r="T761" s="2"/>
    </row>
    <row r="762" spans="2:20" ht="16.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Q762" s="2"/>
      <c r="R762" s="2"/>
      <c r="S762" s="2"/>
      <c r="T762" s="2"/>
    </row>
    <row r="763" spans="2:20" ht="16.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Q763" s="2"/>
      <c r="R763" s="2"/>
      <c r="S763" s="2"/>
      <c r="T763" s="2"/>
    </row>
    <row r="764" spans="2:20" ht="16.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Q764" s="2"/>
      <c r="R764" s="2"/>
      <c r="S764" s="2"/>
      <c r="T764" s="2"/>
    </row>
    <row r="765" spans="2:20" ht="16.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Q765" s="2"/>
      <c r="R765" s="2"/>
      <c r="S765" s="2"/>
      <c r="T765" s="2"/>
    </row>
    <row r="766" spans="2:20" ht="16.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Q766" s="2"/>
      <c r="R766" s="2"/>
      <c r="S766" s="2"/>
      <c r="T766" s="2"/>
    </row>
    <row r="767" spans="2:20" ht="16.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Q767" s="2"/>
      <c r="R767" s="2"/>
      <c r="S767" s="2"/>
      <c r="T767" s="2"/>
    </row>
    <row r="768" spans="2:20" ht="16.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Q768" s="2"/>
      <c r="R768" s="2"/>
      <c r="S768" s="2"/>
      <c r="T768" s="2"/>
    </row>
    <row r="769" spans="2:20" ht="16.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Q769" s="2"/>
      <c r="R769" s="2"/>
      <c r="S769" s="2"/>
      <c r="T769" s="2"/>
    </row>
    <row r="770" spans="2:20" ht="16.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Q770" s="2"/>
      <c r="R770" s="2"/>
      <c r="S770" s="2"/>
      <c r="T770" s="2"/>
    </row>
    <row r="771" spans="2:20" ht="16.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Q771" s="2"/>
      <c r="R771" s="2"/>
      <c r="S771" s="2"/>
      <c r="T771" s="2"/>
    </row>
    <row r="772" spans="2:20" ht="16.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Q772" s="2"/>
      <c r="R772" s="2"/>
      <c r="S772" s="2"/>
      <c r="T772" s="2"/>
    </row>
    <row r="773" spans="2:20" ht="16.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Q773" s="2"/>
      <c r="R773" s="2"/>
      <c r="S773" s="2"/>
      <c r="T773" s="2"/>
    </row>
    <row r="774" spans="2:20" ht="16.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Q774" s="2"/>
      <c r="R774" s="2"/>
      <c r="S774" s="2"/>
      <c r="T774" s="2"/>
    </row>
    <row r="775" spans="2:20" ht="16.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Q775" s="2"/>
      <c r="R775" s="2"/>
      <c r="S775" s="2"/>
      <c r="T775" s="2"/>
    </row>
    <row r="776" spans="2:20" ht="16.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Q776" s="2"/>
      <c r="R776" s="2"/>
      <c r="S776" s="2"/>
      <c r="T776" s="2"/>
    </row>
    <row r="777" spans="2:20" ht="16.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Q777" s="2"/>
      <c r="R777" s="2"/>
      <c r="S777" s="2"/>
      <c r="T777" s="2"/>
    </row>
    <row r="778" spans="2:20" ht="16.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Q778" s="2"/>
      <c r="R778" s="2"/>
      <c r="S778" s="2"/>
      <c r="T778" s="2"/>
    </row>
    <row r="779" spans="2:20" ht="16.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Q779" s="2"/>
      <c r="R779" s="2"/>
      <c r="S779" s="2"/>
      <c r="T779" s="2"/>
    </row>
    <row r="780" spans="2:20" ht="16.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Q780" s="2"/>
      <c r="R780" s="2"/>
      <c r="S780" s="2"/>
      <c r="T780" s="2"/>
    </row>
    <row r="781" spans="2:20" ht="16.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Q781" s="2"/>
      <c r="R781" s="2"/>
      <c r="S781" s="2"/>
      <c r="T781" s="2"/>
    </row>
    <row r="782" spans="2:20" ht="16.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Q782" s="2"/>
      <c r="R782" s="2"/>
      <c r="S782" s="2"/>
      <c r="T782" s="2"/>
    </row>
    <row r="783" spans="2:20" ht="16.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Q783" s="2"/>
      <c r="R783" s="2"/>
      <c r="S783" s="2"/>
      <c r="T783" s="2"/>
    </row>
    <row r="784" spans="2:20" ht="16.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Q784" s="2"/>
      <c r="R784" s="2"/>
      <c r="S784" s="2"/>
      <c r="T784" s="2"/>
    </row>
    <row r="785" spans="2:20" ht="16.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Q785" s="2"/>
      <c r="R785" s="2"/>
      <c r="S785" s="2"/>
      <c r="T785" s="2"/>
    </row>
    <row r="786" spans="2:20" ht="16.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Q786" s="2"/>
      <c r="R786" s="2"/>
      <c r="S786" s="2"/>
      <c r="T786" s="2"/>
    </row>
    <row r="787" spans="2:20" ht="16.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Q787" s="2"/>
      <c r="R787" s="2"/>
      <c r="S787" s="2"/>
      <c r="T787" s="2"/>
    </row>
    <row r="788" spans="2:20" ht="16.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Q788" s="2"/>
      <c r="R788" s="2"/>
      <c r="S788" s="2"/>
      <c r="T788" s="2"/>
    </row>
    <row r="789" spans="2:20" ht="16.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Q789" s="2"/>
      <c r="R789" s="2"/>
      <c r="S789" s="2"/>
      <c r="T789" s="2"/>
    </row>
    <row r="790" spans="2:20" ht="16.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Q790" s="2"/>
      <c r="R790" s="2"/>
      <c r="S790" s="2"/>
      <c r="T790" s="2"/>
    </row>
    <row r="791" spans="2:20" ht="16.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Q791" s="2"/>
      <c r="R791" s="2"/>
      <c r="S791" s="2"/>
      <c r="T791" s="2"/>
    </row>
    <row r="792" spans="2:20" ht="16.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Q792" s="2"/>
      <c r="R792" s="2"/>
      <c r="S792" s="2"/>
      <c r="T792" s="2"/>
    </row>
    <row r="793" spans="2:20" ht="16.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Q793" s="2"/>
      <c r="R793" s="2"/>
      <c r="S793" s="2"/>
      <c r="T793" s="2"/>
    </row>
    <row r="794" spans="2:20" ht="16.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Q794" s="2"/>
      <c r="R794" s="2"/>
      <c r="S794" s="2"/>
      <c r="T794" s="2"/>
    </row>
    <row r="795" spans="2:20" ht="16.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Q795" s="2"/>
      <c r="R795" s="2"/>
      <c r="S795" s="2"/>
      <c r="T795" s="2"/>
    </row>
    <row r="796" spans="2:20" ht="16.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Q796" s="2"/>
      <c r="R796" s="2"/>
      <c r="S796" s="2"/>
      <c r="T796" s="2"/>
    </row>
    <row r="797" spans="2:20" ht="16.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Q797" s="2"/>
      <c r="R797" s="2"/>
      <c r="S797" s="2"/>
      <c r="T797" s="2"/>
    </row>
    <row r="798" spans="2:20" ht="16.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Q798" s="2"/>
      <c r="R798" s="2"/>
      <c r="S798" s="2"/>
      <c r="T798" s="2"/>
    </row>
    <row r="799" spans="2:20" ht="16.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Q799" s="2"/>
      <c r="R799" s="2"/>
      <c r="S799" s="2"/>
      <c r="T799" s="2"/>
    </row>
    <row r="800" spans="2:20" ht="16.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Q800" s="2"/>
      <c r="R800" s="2"/>
      <c r="S800" s="2"/>
      <c r="T800" s="2"/>
    </row>
    <row r="801" spans="2:20" ht="16.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Q801" s="2"/>
      <c r="R801" s="2"/>
      <c r="S801" s="2"/>
      <c r="T801" s="2"/>
    </row>
    <row r="802" spans="2:20" ht="16.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Q802" s="2"/>
      <c r="R802" s="2"/>
      <c r="S802" s="2"/>
      <c r="T802" s="2"/>
    </row>
    <row r="803" spans="2:20" ht="16.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Q803" s="2"/>
      <c r="R803" s="2"/>
      <c r="S803" s="2"/>
      <c r="T803" s="2"/>
    </row>
    <row r="804" spans="2:20" ht="16.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Q804" s="2"/>
      <c r="R804" s="2"/>
      <c r="S804" s="2"/>
      <c r="T804" s="2"/>
    </row>
    <row r="805" spans="2:20" ht="16.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Q805" s="2"/>
      <c r="R805" s="2"/>
      <c r="S805" s="2"/>
      <c r="T805" s="2"/>
    </row>
    <row r="806" spans="2:20" ht="16.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Q806" s="2"/>
      <c r="R806" s="2"/>
      <c r="S806" s="2"/>
      <c r="T806" s="2"/>
    </row>
    <row r="807" spans="2:20" ht="16.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Q807" s="2"/>
      <c r="R807" s="2"/>
      <c r="S807" s="2"/>
      <c r="T807" s="2"/>
    </row>
    <row r="808" spans="2:20" ht="16.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Q808" s="2"/>
      <c r="R808" s="2"/>
      <c r="S808" s="2"/>
      <c r="T808" s="2"/>
    </row>
    <row r="809" spans="2:20" ht="16.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Q809" s="2"/>
      <c r="R809" s="2"/>
      <c r="S809" s="2"/>
      <c r="T809" s="2"/>
    </row>
    <row r="810" spans="2:20" ht="16.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Q810" s="2"/>
      <c r="R810" s="2"/>
      <c r="S810" s="2"/>
      <c r="T810" s="2"/>
    </row>
    <row r="811" spans="2:20" ht="16.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Q811" s="2"/>
      <c r="R811" s="2"/>
      <c r="S811" s="2"/>
      <c r="T811" s="2"/>
    </row>
    <row r="812" spans="2:20" ht="16.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Q812" s="2"/>
      <c r="R812" s="2"/>
      <c r="S812" s="2"/>
      <c r="T812" s="2"/>
    </row>
    <row r="813" spans="2:20" ht="16.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Q813" s="2"/>
      <c r="R813" s="2"/>
      <c r="S813" s="2"/>
      <c r="T813" s="2"/>
    </row>
    <row r="814" spans="2:20" ht="16.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Q814" s="2"/>
      <c r="R814" s="2"/>
      <c r="S814" s="2"/>
      <c r="T814" s="2"/>
    </row>
    <row r="815" spans="2:20" ht="16.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Q815" s="2"/>
      <c r="R815" s="2"/>
      <c r="S815" s="2"/>
      <c r="T815" s="2"/>
    </row>
    <row r="816" spans="2:20" ht="16.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Q816" s="2"/>
      <c r="R816" s="2"/>
      <c r="S816" s="2"/>
      <c r="T816" s="2"/>
    </row>
    <row r="817" spans="2:20" ht="16.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Q817" s="2"/>
      <c r="R817" s="2"/>
      <c r="S817" s="2"/>
      <c r="T817" s="2"/>
    </row>
    <row r="818" spans="2:20" ht="16.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Q818" s="2"/>
      <c r="R818" s="2"/>
      <c r="S818" s="2"/>
      <c r="T818" s="2"/>
    </row>
    <row r="819" spans="2:20" ht="16.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Q819" s="2"/>
      <c r="R819" s="2"/>
      <c r="S819" s="2"/>
      <c r="T819" s="2"/>
    </row>
    <row r="820" spans="2:20" ht="16.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Q820" s="2"/>
      <c r="R820" s="2"/>
      <c r="S820" s="2"/>
      <c r="T820" s="2"/>
    </row>
    <row r="821" spans="2:20" ht="16.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Q821" s="2"/>
      <c r="R821" s="2"/>
      <c r="S821" s="2"/>
      <c r="T821" s="2"/>
    </row>
    <row r="822" spans="2:20" ht="16.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Q822" s="2"/>
      <c r="R822" s="2"/>
      <c r="S822" s="2"/>
      <c r="T822" s="2"/>
    </row>
    <row r="823" spans="2:20" ht="16.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Q823" s="2"/>
      <c r="R823" s="2"/>
      <c r="S823" s="2"/>
      <c r="T823" s="2"/>
    </row>
    <row r="824" spans="2:20" ht="16.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Q824" s="2"/>
      <c r="R824" s="2"/>
      <c r="S824" s="2"/>
      <c r="T824" s="2"/>
    </row>
    <row r="825" spans="2:20" ht="16.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Q825" s="2"/>
      <c r="R825" s="2"/>
      <c r="S825" s="2"/>
      <c r="T825" s="2"/>
    </row>
    <row r="826" spans="2:20" ht="16.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Q826" s="2"/>
      <c r="R826" s="2"/>
      <c r="S826" s="2"/>
      <c r="T826" s="2"/>
    </row>
    <row r="827" spans="2:20" ht="16.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Q827" s="2"/>
      <c r="R827" s="2"/>
      <c r="S827" s="2"/>
      <c r="T827" s="2"/>
    </row>
    <row r="828" spans="2:20" ht="16.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Q828" s="2"/>
      <c r="R828" s="2"/>
      <c r="S828" s="2"/>
      <c r="T828" s="2"/>
    </row>
    <row r="829" spans="2:20" ht="16.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Q829" s="2"/>
      <c r="R829" s="2"/>
      <c r="S829" s="2"/>
      <c r="T829" s="2"/>
    </row>
    <row r="830" spans="2:20" ht="16.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Q830" s="2"/>
      <c r="R830" s="2"/>
      <c r="S830" s="2"/>
      <c r="T830" s="2"/>
    </row>
    <row r="831" spans="2:20" ht="16.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Q831" s="2"/>
      <c r="R831" s="2"/>
      <c r="S831" s="2"/>
      <c r="T831" s="2"/>
    </row>
    <row r="832" spans="2:20" ht="16.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Q832" s="2"/>
      <c r="R832" s="2"/>
      <c r="S832" s="2"/>
      <c r="T832" s="2"/>
    </row>
    <row r="833" spans="2:20" ht="16.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Q833" s="2"/>
      <c r="R833" s="2"/>
      <c r="S833" s="2"/>
      <c r="T833" s="2"/>
    </row>
    <row r="834" spans="2:20" ht="16.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Q834" s="2"/>
      <c r="R834" s="2"/>
      <c r="S834" s="2"/>
      <c r="T834" s="2"/>
    </row>
    <row r="835" spans="2:20" ht="16.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Q835" s="2"/>
      <c r="R835" s="2"/>
      <c r="S835" s="2"/>
      <c r="T835" s="2"/>
    </row>
    <row r="836" spans="2:20" ht="16.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Q836" s="2"/>
      <c r="R836" s="2"/>
      <c r="S836" s="2"/>
      <c r="T836" s="2"/>
    </row>
    <row r="837" spans="2:20" ht="16.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Q837" s="2"/>
      <c r="R837" s="2"/>
      <c r="S837" s="2"/>
      <c r="T837" s="2"/>
    </row>
    <row r="838" spans="2:20" ht="16.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Q838" s="2"/>
      <c r="R838" s="2"/>
      <c r="S838" s="2"/>
      <c r="T838" s="2"/>
    </row>
    <row r="839" spans="2:20" ht="16.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Q839" s="2"/>
      <c r="R839" s="2"/>
      <c r="S839" s="2"/>
      <c r="T839" s="2"/>
    </row>
    <row r="840" spans="2:20" ht="16.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Q840" s="2"/>
      <c r="R840" s="2"/>
      <c r="S840" s="2"/>
      <c r="T840" s="2"/>
    </row>
    <row r="841" spans="2:20" ht="16.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Q841" s="2"/>
      <c r="R841" s="2"/>
      <c r="S841" s="2"/>
      <c r="T841" s="2"/>
    </row>
    <row r="842" spans="2:20" ht="16.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Q842" s="2"/>
      <c r="R842" s="2"/>
      <c r="S842" s="2"/>
      <c r="T842" s="2"/>
    </row>
    <row r="843" spans="2:20" ht="16.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Q843" s="2"/>
      <c r="R843" s="2"/>
      <c r="S843" s="2"/>
      <c r="T843" s="2"/>
    </row>
    <row r="844" spans="2:20" ht="16.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Q844" s="2"/>
      <c r="R844" s="2"/>
      <c r="S844" s="2"/>
      <c r="T844" s="2"/>
    </row>
    <row r="845" spans="2:20" ht="16.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Q845" s="2"/>
      <c r="R845" s="2"/>
      <c r="S845" s="2"/>
      <c r="T845" s="2"/>
    </row>
    <row r="846" spans="2:20" ht="16.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Q846" s="2"/>
      <c r="R846" s="2"/>
      <c r="S846" s="2"/>
      <c r="T846" s="2"/>
    </row>
    <row r="847" spans="2:20" ht="16.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Q847" s="2"/>
      <c r="R847" s="2"/>
      <c r="S847" s="2"/>
      <c r="T847" s="2"/>
    </row>
    <row r="848" spans="2:20" ht="16.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Q848" s="2"/>
      <c r="R848" s="2"/>
      <c r="S848" s="2"/>
      <c r="T848" s="2"/>
    </row>
    <row r="849" spans="2:20" ht="16.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Q849" s="2"/>
      <c r="R849" s="2"/>
      <c r="S849" s="2"/>
      <c r="T849" s="2"/>
    </row>
    <row r="850" spans="2:20" ht="16.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Q850" s="2"/>
      <c r="R850" s="2"/>
      <c r="S850" s="2"/>
      <c r="T850" s="2"/>
    </row>
    <row r="851" spans="2:20" ht="16.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Q851" s="2"/>
      <c r="R851" s="2"/>
      <c r="S851" s="2"/>
      <c r="T851" s="2"/>
    </row>
    <row r="852" spans="2:20" ht="16.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Q852" s="2"/>
      <c r="R852" s="2"/>
      <c r="S852" s="2"/>
      <c r="T852" s="2"/>
    </row>
    <row r="853" spans="2:20" ht="16.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Q853" s="2"/>
      <c r="R853" s="2"/>
      <c r="S853" s="2"/>
      <c r="T853" s="2"/>
    </row>
    <row r="854" spans="2:20" ht="16.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Q854" s="2"/>
      <c r="R854" s="2"/>
      <c r="S854" s="2"/>
      <c r="T854" s="2"/>
    </row>
    <row r="855" spans="2:20" ht="16.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Q855" s="2"/>
      <c r="R855" s="2"/>
      <c r="S855" s="2"/>
      <c r="T855" s="2"/>
    </row>
    <row r="856" spans="2:20" ht="16.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Q856" s="2"/>
      <c r="R856" s="2"/>
      <c r="S856" s="2"/>
      <c r="T856" s="2"/>
    </row>
    <row r="857" spans="2:20" ht="16.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Q857" s="2"/>
      <c r="R857" s="2"/>
      <c r="S857" s="2"/>
      <c r="T857" s="2"/>
    </row>
    <row r="858" spans="2:20" ht="16.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Q858" s="2"/>
      <c r="R858" s="2"/>
      <c r="S858" s="2"/>
      <c r="T858" s="2"/>
    </row>
    <row r="859" spans="2:20" ht="16.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Q859" s="2"/>
      <c r="R859" s="2"/>
      <c r="S859" s="2"/>
      <c r="T859" s="2"/>
    </row>
    <row r="860" spans="2:20" ht="16.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Q860" s="2"/>
      <c r="R860" s="2"/>
      <c r="S860" s="2"/>
      <c r="T860" s="2"/>
    </row>
    <row r="861" spans="2:20" ht="16.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Q861" s="2"/>
      <c r="R861" s="2"/>
      <c r="S861" s="2"/>
      <c r="T861" s="2"/>
    </row>
    <row r="862" spans="2:20" ht="16.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Q862" s="2"/>
      <c r="R862" s="2"/>
      <c r="S862" s="2"/>
      <c r="T862" s="2"/>
    </row>
    <row r="863" spans="2:20" ht="16.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Q863" s="2"/>
      <c r="R863" s="2"/>
      <c r="S863" s="2"/>
      <c r="T863" s="2"/>
    </row>
    <row r="864" spans="2:20" ht="16.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Q864" s="2"/>
      <c r="R864" s="2"/>
      <c r="S864" s="2"/>
      <c r="T864" s="2"/>
    </row>
    <row r="865" spans="2:20" ht="16.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Q865" s="2"/>
      <c r="R865" s="2"/>
      <c r="S865" s="2"/>
      <c r="T865" s="2"/>
    </row>
    <row r="866" spans="2:20" ht="16.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Q866" s="2"/>
      <c r="R866" s="2"/>
      <c r="S866" s="2"/>
      <c r="T866" s="2"/>
    </row>
    <row r="867" spans="2:20" ht="16.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Q867" s="2"/>
      <c r="R867" s="2"/>
      <c r="S867" s="2"/>
      <c r="T867" s="2"/>
    </row>
    <row r="868" spans="2:20" ht="16.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Q868" s="2"/>
      <c r="R868" s="2"/>
      <c r="S868" s="2"/>
      <c r="T868" s="2"/>
    </row>
    <row r="869" spans="2:20" ht="16.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Q869" s="2"/>
      <c r="R869" s="2"/>
      <c r="S869" s="2"/>
      <c r="T869" s="2"/>
    </row>
    <row r="870" spans="2:20" ht="16.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Q870" s="2"/>
      <c r="R870" s="2"/>
      <c r="S870" s="2"/>
      <c r="T870" s="2"/>
    </row>
    <row r="871" spans="2:20" ht="16.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Q871" s="2"/>
      <c r="R871" s="2"/>
      <c r="S871" s="2"/>
      <c r="T871" s="2"/>
    </row>
    <row r="872" spans="2:20" ht="16.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Q872" s="2"/>
      <c r="R872" s="2"/>
      <c r="S872" s="2"/>
      <c r="T872" s="2"/>
    </row>
    <row r="873" spans="2:20" ht="16.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Q873" s="2"/>
      <c r="R873" s="2"/>
      <c r="S873" s="2"/>
      <c r="T873" s="2"/>
    </row>
    <row r="874" spans="2:20" ht="16.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Q874" s="2"/>
      <c r="R874" s="2"/>
      <c r="S874" s="2"/>
      <c r="T874" s="2"/>
    </row>
    <row r="875" spans="2:20" ht="16.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Q875" s="2"/>
      <c r="R875" s="2"/>
      <c r="S875" s="2"/>
      <c r="T875" s="2"/>
    </row>
    <row r="876" spans="2:20" ht="16.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Q876" s="2"/>
      <c r="R876" s="2"/>
      <c r="S876" s="2"/>
      <c r="T876" s="2"/>
    </row>
    <row r="877" spans="2:20" ht="16.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Q877" s="2"/>
      <c r="R877" s="2"/>
      <c r="S877" s="2"/>
      <c r="T877" s="2"/>
    </row>
    <row r="878" spans="2:20" ht="16.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Q878" s="2"/>
      <c r="R878" s="2"/>
      <c r="S878" s="2"/>
      <c r="T878" s="2"/>
    </row>
    <row r="879" spans="2:20" ht="16.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Q879" s="2"/>
      <c r="R879" s="2"/>
      <c r="S879" s="2"/>
      <c r="T879" s="2"/>
    </row>
    <row r="880" spans="2:20" ht="16.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Q880" s="2"/>
      <c r="R880" s="2"/>
      <c r="S880" s="2"/>
      <c r="T880" s="2"/>
    </row>
    <row r="881" spans="2:20" ht="16.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Q881" s="2"/>
      <c r="R881" s="2"/>
      <c r="S881" s="2"/>
      <c r="T881" s="2"/>
    </row>
    <row r="882" spans="2:20" ht="16.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Q882" s="2"/>
      <c r="R882" s="2"/>
      <c r="S882" s="2"/>
      <c r="T882" s="2"/>
    </row>
    <row r="883" spans="2:20" ht="16.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Q883" s="2"/>
      <c r="R883" s="2"/>
      <c r="S883" s="2"/>
      <c r="T883" s="2"/>
    </row>
    <row r="884" spans="2:20" ht="16.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Q884" s="2"/>
      <c r="R884" s="2"/>
      <c r="S884" s="2"/>
      <c r="T884" s="2"/>
    </row>
    <row r="885" spans="2:20" ht="16.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Q885" s="2"/>
      <c r="R885" s="2"/>
      <c r="S885" s="2"/>
      <c r="T885" s="2"/>
    </row>
    <row r="886" spans="2:20" ht="16.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Q886" s="2"/>
      <c r="R886" s="2"/>
      <c r="S886" s="2"/>
      <c r="T886" s="2"/>
    </row>
    <row r="887" spans="2:20" ht="16.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Q887" s="2"/>
      <c r="R887" s="2"/>
      <c r="S887" s="2"/>
      <c r="T887" s="2"/>
    </row>
    <row r="888" spans="2:20" ht="16.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Q888" s="2"/>
      <c r="R888" s="2"/>
      <c r="S888" s="2"/>
      <c r="T888" s="2"/>
    </row>
    <row r="889" spans="2:20" ht="16.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Q889" s="2"/>
      <c r="R889" s="2"/>
      <c r="S889" s="2"/>
      <c r="T889" s="2"/>
    </row>
    <row r="890" spans="2:20" ht="16.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Q890" s="2"/>
      <c r="R890" s="2"/>
      <c r="S890" s="2"/>
      <c r="T890" s="2"/>
    </row>
    <row r="891" spans="2:20" ht="16.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Q891" s="2"/>
      <c r="R891" s="2"/>
      <c r="S891" s="2"/>
      <c r="T891" s="2"/>
    </row>
    <row r="892" spans="2:20" ht="16.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Q892" s="2"/>
      <c r="R892" s="2"/>
      <c r="S892" s="2"/>
      <c r="T892" s="2"/>
    </row>
    <row r="893" spans="2:20" ht="16.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Q893" s="2"/>
      <c r="R893" s="2"/>
      <c r="S893" s="2"/>
      <c r="T893" s="2"/>
    </row>
    <row r="894" spans="2:20" ht="16.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Q894" s="2"/>
      <c r="R894" s="2"/>
      <c r="S894" s="2"/>
      <c r="T894" s="2"/>
    </row>
    <row r="895" spans="2:20" ht="16.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Q895" s="2"/>
      <c r="R895" s="2"/>
      <c r="S895" s="2"/>
      <c r="T895" s="2"/>
    </row>
    <row r="896" spans="2:20" ht="16.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Q896" s="2"/>
      <c r="R896" s="2"/>
      <c r="S896" s="2"/>
      <c r="T896" s="2"/>
    </row>
    <row r="897" spans="2:20" ht="16.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Q897" s="2"/>
      <c r="R897" s="2"/>
      <c r="S897" s="2"/>
      <c r="T897" s="2"/>
    </row>
    <row r="898" spans="2:20" ht="16.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Q898" s="2"/>
      <c r="R898" s="2"/>
      <c r="S898" s="2"/>
      <c r="T898" s="2"/>
    </row>
    <row r="899" spans="2:20" ht="16.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Q899" s="2"/>
      <c r="R899" s="2"/>
      <c r="S899" s="2"/>
      <c r="T899" s="2"/>
    </row>
    <row r="900" spans="2:20" ht="16.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Q900" s="2"/>
      <c r="R900" s="2"/>
      <c r="S900" s="2"/>
      <c r="T900" s="2"/>
    </row>
    <row r="901" spans="2:20" ht="16.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Q901" s="2"/>
      <c r="R901" s="2"/>
      <c r="S901" s="2"/>
      <c r="T901" s="2"/>
    </row>
    <row r="902" spans="2:20" ht="16.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Q902" s="2"/>
      <c r="R902" s="2"/>
      <c r="S902" s="2"/>
      <c r="T902" s="2"/>
    </row>
    <row r="903" spans="2:20" ht="16.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Q903" s="2"/>
      <c r="R903" s="2"/>
      <c r="S903" s="2"/>
      <c r="T903" s="2"/>
    </row>
    <row r="904" spans="2:20" ht="16.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Q904" s="2"/>
      <c r="R904" s="2"/>
      <c r="S904" s="2"/>
      <c r="T904" s="2"/>
    </row>
    <row r="905" spans="2:20" ht="16.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Q905" s="2"/>
      <c r="R905" s="2"/>
      <c r="S905" s="2"/>
      <c r="T905" s="2"/>
    </row>
    <row r="906" spans="2:20" ht="16.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Q906" s="2"/>
      <c r="R906" s="2"/>
      <c r="S906" s="2"/>
      <c r="T906" s="2"/>
    </row>
    <row r="907" spans="2:20" ht="16.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Q907" s="2"/>
      <c r="R907" s="2"/>
      <c r="S907" s="2"/>
      <c r="T907" s="2"/>
    </row>
    <row r="908" spans="2:20" ht="16.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Q908" s="2"/>
      <c r="R908" s="2"/>
      <c r="S908" s="2"/>
      <c r="T908" s="2"/>
    </row>
    <row r="909" spans="2:20" ht="16.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Q909" s="2"/>
      <c r="R909" s="2"/>
      <c r="S909" s="2"/>
      <c r="T909" s="2"/>
    </row>
    <row r="910" spans="2:20" ht="16.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Q910" s="2"/>
      <c r="R910" s="2"/>
      <c r="S910" s="2"/>
      <c r="T910" s="2"/>
    </row>
    <row r="911" spans="2:20" ht="16.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Q911" s="2"/>
      <c r="R911" s="2"/>
      <c r="S911" s="2"/>
      <c r="T911" s="2"/>
    </row>
    <row r="912" spans="2:20" ht="16.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Q912" s="2"/>
      <c r="R912" s="2"/>
      <c r="S912" s="2"/>
      <c r="T912" s="2"/>
    </row>
    <row r="913" spans="2:20" ht="16.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Q913" s="2"/>
      <c r="R913" s="2"/>
      <c r="S913" s="2"/>
      <c r="T913" s="2"/>
    </row>
    <row r="914" spans="2:20" ht="16.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Q914" s="2"/>
      <c r="R914" s="2"/>
      <c r="S914" s="2"/>
      <c r="T914" s="2"/>
    </row>
    <row r="915" spans="2:20" ht="16.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Q915" s="2"/>
      <c r="R915" s="2"/>
      <c r="S915" s="2"/>
      <c r="T915" s="2"/>
    </row>
    <row r="916" spans="2:20" ht="16.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Q916" s="2"/>
      <c r="R916" s="2"/>
      <c r="S916" s="2"/>
      <c r="T916" s="2"/>
    </row>
    <row r="917" spans="2:20" ht="16.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Q917" s="2"/>
      <c r="R917" s="2"/>
      <c r="S917" s="2"/>
      <c r="T917" s="2"/>
    </row>
    <row r="918" spans="2:20" ht="16.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Q918" s="2"/>
      <c r="R918" s="2"/>
      <c r="S918" s="2"/>
      <c r="T918" s="2"/>
    </row>
    <row r="919" spans="2:20" ht="16.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Q919" s="2"/>
      <c r="R919" s="2"/>
      <c r="S919" s="2"/>
      <c r="T919" s="2"/>
    </row>
    <row r="920" spans="2:20" ht="16.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Q920" s="2"/>
      <c r="R920" s="2"/>
      <c r="S920" s="2"/>
      <c r="T920" s="2"/>
    </row>
    <row r="921" spans="2:20" ht="16.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Q921" s="2"/>
      <c r="R921" s="2"/>
      <c r="S921" s="2"/>
      <c r="T921" s="2"/>
    </row>
    <row r="922" spans="2:20" ht="16.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Q922" s="2"/>
      <c r="R922" s="2"/>
      <c r="S922" s="2"/>
      <c r="T922" s="2"/>
    </row>
    <row r="923" spans="2:20" ht="16.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Q923" s="2"/>
      <c r="R923" s="2"/>
      <c r="S923" s="2"/>
      <c r="T923" s="2"/>
    </row>
    <row r="924" spans="2:20" ht="16.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Q924" s="2"/>
      <c r="R924" s="2"/>
      <c r="S924" s="2"/>
      <c r="T924" s="2"/>
    </row>
    <row r="925" spans="2:20" ht="16.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Q925" s="2"/>
      <c r="R925" s="2"/>
      <c r="S925" s="2"/>
      <c r="T925" s="2"/>
    </row>
    <row r="926" spans="2:20" ht="16.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Q926" s="2"/>
      <c r="R926" s="2"/>
      <c r="S926" s="2"/>
      <c r="T926" s="2"/>
    </row>
    <row r="927" spans="2:20" ht="16.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Q927" s="2"/>
      <c r="R927" s="2"/>
      <c r="S927" s="2"/>
      <c r="T927" s="2"/>
    </row>
    <row r="928" spans="2:20" ht="16.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Q928" s="2"/>
      <c r="R928" s="2"/>
      <c r="S928" s="2"/>
      <c r="T928" s="2"/>
    </row>
    <row r="929" spans="2:20" ht="16.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Q929" s="2"/>
      <c r="R929" s="2"/>
      <c r="S929" s="2"/>
      <c r="T929" s="2"/>
    </row>
    <row r="930" spans="2:20" ht="16.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Q930" s="2"/>
      <c r="R930" s="2"/>
      <c r="S930" s="2"/>
      <c r="T930" s="2"/>
    </row>
    <row r="931" spans="2:20" ht="16.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Q931" s="2"/>
      <c r="R931" s="2"/>
      <c r="S931" s="2"/>
      <c r="T931" s="2"/>
    </row>
    <row r="932" spans="2:20" ht="16.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Q932" s="2"/>
      <c r="R932" s="2"/>
      <c r="S932" s="2"/>
      <c r="T932" s="2"/>
    </row>
    <row r="933" spans="2:20" ht="16.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Q933" s="2"/>
      <c r="R933" s="2"/>
      <c r="S933" s="2"/>
      <c r="T933" s="2"/>
    </row>
    <row r="934" spans="2:20" ht="16.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Q934" s="2"/>
      <c r="R934" s="2"/>
      <c r="S934" s="2"/>
      <c r="T934" s="2"/>
    </row>
    <row r="935" spans="2:20" ht="16.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Q935" s="2"/>
      <c r="R935" s="2"/>
      <c r="S935" s="2"/>
      <c r="T935" s="2"/>
    </row>
    <row r="936" spans="2:20" ht="16.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Q936" s="2"/>
      <c r="R936" s="2"/>
      <c r="S936" s="2"/>
      <c r="T936" s="2"/>
    </row>
    <row r="937" spans="2:20" ht="16.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Q937" s="2"/>
      <c r="R937" s="2"/>
      <c r="S937" s="2"/>
      <c r="T937" s="2"/>
    </row>
    <row r="938" spans="2:20" ht="16.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Q938" s="2"/>
      <c r="R938" s="2"/>
      <c r="S938" s="2"/>
      <c r="T938" s="2"/>
    </row>
    <row r="939" spans="2:20" ht="16.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Q939" s="2"/>
      <c r="R939" s="2"/>
      <c r="S939" s="2"/>
      <c r="T939" s="2"/>
    </row>
    <row r="940" spans="2:20" ht="16.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Q940" s="2"/>
      <c r="R940" s="2"/>
      <c r="S940" s="2"/>
      <c r="T940" s="2"/>
    </row>
    <row r="941" spans="2:20" ht="16.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Q941" s="2"/>
      <c r="R941" s="2"/>
      <c r="S941" s="2"/>
      <c r="T941" s="2"/>
    </row>
    <row r="942" spans="2:20" ht="16.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Q942" s="2"/>
      <c r="R942" s="2"/>
      <c r="S942" s="2"/>
      <c r="T942" s="2"/>
    </row>
    <row r="943" spans="2:20" ht="16.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Q943" s="2"/>
      <c r="R943" s="2"/>
      <c r="S943" s="2"/>
      <c r="T943" s="2"/>
    </row>
    <row r="944" spans="2:20" ht="16.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Q944" s="2"/>
      <c r="R944" s="2"/>
      <c r="S944" s="2"/>
      <c r="T944" s="2"/>
    </row>
    <row r="945" spans="2:20" ht="16.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Q945" s="2"/>
      <c r="R945" s="2"/>
      <c r="S945" s="2"/>
      <c r="T945" s="2"/>
    </row>
    <row r="946" spans="2:20" ht="16.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Q946" s="2"/>
      <c r="R946" s="2"/>
      <c r="S946" s="2"/>
      <c r="T946" s="2"/>
    </row>
    <row r="947" spans="2:20" ht="16.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Q947" s="2"/>
      <c r="R947" s="2"/>
      <c r="S947" s="2"/>
      <c r="T947" s="2"/>
    </row>
    <row r="948" spans="2:20" ht="16.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Q948" s="2"/>
      <c r="R948" s="2"/>
      <c r="S948" s="2"/>
      <c r="T948" s="2"/>
    </row>
    <row r="949" spans="2:20" ht="16.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Q949" s="2"/>
      <c r="R949" s="2"/>
      <c r="S949" s="2"/>
      <c r="T949" s="2"/>
    </row>
    <row r="950" spans="2:20" ht="16.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Q950" s="2"/>
      <c r="R950" s="2"/>
      <c r="S950" s="2"/>
      <c r="T950" s="2"/>
    </row>
    <row r="951" spans="2:20" ht="16.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Q951" s="2"/>
      <c r="R951" s="2"/>
      <c r="S951" s="2"/>
      <c r="T951" s="2"/>
    </row>
    <row r="952" spans="2:20" ht="16.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Q952" s="2"/>
      <c r="R952" s="2"/>
      <c r="S952" s="2"/>
      <c r="T952" s="2"/>
    </row>
    <row r="953" spans="2:20" ht="16.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Q953" s="2"/>
      <c r="R953" s="2"/>
      <c r="S953" s="2"/>
      <c r="T953" s="2"/>
    </row>
    <row r="954" spans="2:20" ht="16.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Q954" s="2"/>
      <c r="R954" s="2"/>
      <c r="S954" s="2"/>
      <c r="T954" s="2"/>
    </row>
    <row r="955" spans="2:20" ht="16.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Q955" s="2"/>
      <c r="R955" s="2"/>
      <c r="S955" s="2"/>
      <c r="T955" s="2"/>
    </row>
    <row r="956" spans="2:20" ht="16.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Q956" s="2"/>
      <c r="R956" s="2"/>
      <c r="S956" s="2"/>
      <c r="T956" s="2"/>
    </row>
    <row r="957" spans="2:20" ht="16.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Q957" s="2"/>
      <c r="R957" s="2"/>
      <c r="S957" s="2"/>
      <c r="T957" s="2"/>
    </row>
    <row r="958" spans="2:20" ht="16.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Q958" s="2"/>
      <c r="R958" s="2"/>
      <c r="S958" s="2"/>
      <c r="T958" s="2"/>
    </row>
    <row r="959" spans="2:20" ht="16.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Q959" s="2"/>
      <c r="R959" s="2"/>
      <c r="S959" s="2"/>
      <c r="T959" s="2"/>
    </row>
    <row r="960" spans="2:20" ht="16.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Q960" s="2"/>
      <c r="R960" s="2"/>
      <c r="S960" s="2"/>
      <c r="T960" s="2"/>
    </row>
    <row r="961" spans="2:20" ht="16.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Q961" s="2"/>
      <c r="R961" s="2"/>
      <c r="S961" s="2"/>
      <c r="T961" s="2"/>
    </row>
    <row r="962" spans="2:20" ht="16.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Q962" s="2"/>
      <c r="R962" s="2"/>
      <c r="S962" s="2"/>
      <c r="T962" s="2"/>
    </row>
    <row r="963" spans="2:20" ht="16.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Q963" s="2"/>
      <c r="R963" s="2"/>
      <c r="S963" s="2"/>
      <c r="T963" s="2"/>
    </row>
    <row r="964" spans="2:20" ht="16.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Q964" s="2"/>
      <c r="R964" s="2"/>
      <c r="S964" s="2"/>
      <c r="T964" s="2"/>
    </row>
    <row r="965" spans="2:20" ht="16.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Q965" s="2"/>
      <c r="R965" s="2"/>
      <c r="S965" s="2"/>
      <c r="T965" s="2"/>
    </row>
    <row r="966" spans="2:20" ht="16.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Q966" s="2"/>
      <c r="R966" s="2"/>
      <c r="S966" s="2"/>
      <c r="T966" s="2"/>
    </row>
    <row r="967" spans="2:20" ht="16.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Q967" s="2"/>
      <c r="R967" s="2"/>
      <c r="S967" s="2"/>
      <c r="T967" s="2"/>
    </row>
    <row r="968" spans="2:20" ht="16.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Q968" s="2"/>
      <c r="R968" s="2"/>
      <c r="S968" s="2"/>
      <c r="T968" s="2"/>
    </row>
    <row r="969" spans="2:20" ht="16.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Q969" s="2"/>
      <c r="R969" s="2"/>
      <c r="S969" s="2"/>
      <c r="T969" s="2"/>
    </row>
    <row r="970" spans="2:20" ht="16.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Q970" s="2"/>
      <c r="R970" s="2"/>
      <c r="S970" s="2"/>
      <c r="T970" s="2"/>
    </row>
    <row r="971" spans="2:20" ht="16.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Q971" s="2"/>
      <c r="R971" s="2"/>
      <c r="S971" s="2"/>
      <c r="T971" s="2"/>
    </row>
    <row r="972" spans="2:20" ht="16.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Q972" s="2"/>
      <c r="R972" s="2"/>
      <c r="S972" s="2"/>
      <c r="T972" s="2"/>
    </row>
    <row r="973" spans="2:20" ht="16.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Q973" s="2"/>
      <c r="R973" s="2"/>
      <c r="S973" s="2"/>
      <c r="T973" s="2"/>
    </row>
    <row r="974" spans="2:20" ht="16.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Q974" s="2"/>
      <c r="R974" s="2"/>
      <c r="S974" s="2"/>
      <c r="T974" s="2"/>
    </row>
    <row r="975" spans="2:20" ht="16.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Q975" s="2"/>
      <c r="R975" s="2"/>
      <c r="S975" s="2"/>
      <c r="T975" s="2"/>
    </row>
    <row r="976" spans="2:20" ht="16.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Q976" s="2"/>
      <c r="R976" s="2"/>
      <c r="S976" s="2"/>
      <c r="T976" s="2"/>
    </row>
    <row r="977" spans="2:20" ht="16.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Q977" s="2"/>
      <c r="R977" s="2"/>
      <c r="S977" s="2"/>
      <c r="T977" s="2"/>
    </row>
    <row r="978" spans="2:20" ht="16.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Q978" s="2"/>
      <c r="R978" s="2"/>
      <c r="S978" s="2"/>
      <c r="T978" s="2"/>
    </row>
    <row r="979" spans="2:20" ht="16.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Q979" s="2"/>
      <c r="R979" s="2"/>
      <c r="S979" s="2"/>
      <c r="T979" s="2"/>
    </row>
    <row r="980" spans="2:20" ht="16.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Q980" s="2"/>
      <c r="R980" s="2"/>
      <c r="S980" s="2"/>
      <c r="T980" s="2"/>
    </row>
    <row r="981" spans="2:20" ht="16.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Q981" s="2"/>
      <c r="R981" s="2"/>
      <c r="S981" s="2"/>
      <c r="T981" s="2"/>
    </row>
    <row r="982" spans="2:20" ht="16.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Q982" s="2"/>
      <c r="R982" s="2"/>
      <c r="S982" s="2"/>
      <c r="T982" s="2"/>
    </row>
    <row r="983" spans="2:20" ht="16.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Q983" s="2"/>
      <c r="R983" s="2"/>
      <c r="S983" s="2"/>
      <c r="T983" s="2"/>
    </row>
    <row r="984" spans="2:20" ht="16.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Q984" s="2"/>
      <c r="R984" s="2"/>
      <c r="S984" s="2"/>
      <c r="T984" s="2"/>
    </row>
    <row r="985" spans="2:20" ht="16.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Q985" s="2"/>
      <c r="R985" s="2"/>
      <c r="S985" s="2"/>
      <c r="T985" s="2"/>
    </row>
    <row r="986" spans="2:20" ht="16.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Q986" s="2"/>
      <c r="R986" s="2"/>
      <c r="S986" s="2"/>
      <c r="T986" s="2"/>
    </row>
    <row r="987" spans="2:20" ht="16.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Q987" s="2"/>
      <c r="R987" s="2"/>
      <c r="S987" s="2"/>
      <c r="T987" s="2"/>
    </row>
    <row r="988" spans="2:20" ht="16.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Q988" s="2"/>
      <c r="R988" s="2"/>
      <c r="S988" s="2"/>
      <c r="T988" s="2"/>
    </row>
    <row r="989" spans="2:20" ht="16.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Q989" s="2"/>
      <c r="R989" s="2"/>
      <c r="S989" s="2"/>
      <c r="T989" s="2"/>
    </row>
    <row r="990" spans="2:20" ht="16.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Q990" s="2"/>
      <c r="R990" s="2"/>
      <c r="S990" s="2"/>
      <c r="T990" s="2"/>
    </row>
    <row r="991" spans="2:20" ht="16.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Q991" s="2"/>
      <c r="R991" s="2"/>
      <c r="S991" s="2"/>
      <c r="T991" s="2"/>
    </row>
    <row r="992" spans="2:20" ht="16.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Q992" s="2"/>
      <c r="R992" s="2"/>
      <c r="S992" s="2"/>
      <c r="T992" s="2"/>
    </row>
    <row r="993" spans="2:20" ht="16.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Q993" s="2"/>
      <c r="R993" s="2"/>
      <c r="S993" s="2"/>
      <c r="T993" s="2"/>
    </row>
    <row r="994" spans="2:20" ht="16.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2:20" ht="16.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2:20" ht="16.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2:20" ht="16.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2:20" ht="16.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2:20" ht="16.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2:20" ht="16.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2:20" ht="16.5" customHeight="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2:20" ht="16.5" customHeight="1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2:20" ht="16.5" customHeight="1"/>
    <row r="1004" spans="2:20" ht="16.5" customHeight="1"/>
    <row r="1005" spans="2:20" ht="16.5" customHeight="1"/>
    <row r="1006" spans="2:20" ht="16.5" customHeight="1"/>
    <row r="1007" spans="2:20" ht="16.5" customHeight="1"/>
    <row r="1008" spans="2:20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</sheetData>
  <mergeCells count="3">
    <mergeCell ref="D4:H4"/>
    <mergeCell ref="D5:H5"/>
    <mergeCell ref="D6:H6"/>
  </mergeCells>
  <phoneticPr fontId="2" type="noConversion"/>
  <hyperlinks>
    <hyperlink ref="D4" r:id="rId1" xr:uid="{00000000-0004-0000-0000-000000000000}"/>
    <hyperlink ref="D5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41"/>
  <sheetViews>
    <sheetView topLeftCell="A13" zoomScaleNormal="100" workbookViewId="0">
      <selection activeCell="E59" sqref="E59"/>
    </sheetView>
  </sheetViews>
  <sheetFormatPr defaultColWidth="12.59765625" defaultRowHeight="15" customHeight="1"/>
  <cols>
    <col min="1" max="1" width="12.69921875" style="1" bestFit="1" customWidth="1"/>
    <col min="2" max="2" width="5.59765625" style="1" customWidth="1"/>
    <col min="3" max="3" width="5.5" style="1" customWidth="1"/>
    <col min="4" max="4" width="5.19921875" style="1" customWidth="1"/>
    <col min="5" max="5" width="153.8984375" style="5" bestFit="1" customWidth="1"/>
    <col min="6" max="6" width="48" style="5" customWidth="1"/>
    <col min="7" max="7" width="6.59765625" style="5" customWidth="1"/>
    <col min="8" max="8" width="10.09765625" style="5" customWidth="1"/>
    <col min="9" max="9" width="10" style="5" customWidth="1"/>
    <col min="10" max="10" width="11.09765625" style="5" customWidth="1"/>
    <col min="11" max="11" width="10.09765625" style="5" customWidth="1"/>
    <col min="12" max="16384" width="12.59765625" style="1"/>
  </cols>
  <sheetData>
    <row r="1" spans="1:11" ht="16.5" customHeight="1">
      <c r="C1" s="2"/>
      <c r="D1" s="2"/>
      <c r="E1" s="2"/>
      <c r="F1" s="2"/>
      <c r="G1" s="2"/>
      <c r="I1" s="2"/>
      <c r="J1" s="2"/>
    </row>
    <row r="2" spans="1:11" ht="16.5" customHeight="1" thickBot="1">
      <c r="C2" s="2"/>
      <c r="D2" s="2" t="s">
        <v>0</v>
      </c>
      <c r="E2" s="2"/>
      <c r="F2" s="2"/>
      <c r="G2" s="2"/>
      <c r="I2" s="2"/>
      <c r="J2" s="2"/>
    </row>
    <row r="3" spans="1:11" ht="16.5" customHeight="1" thickBot="1">
      <c r="C3" s="2"/>
      <c r="D3" s="3"/>
      <c r="E3" s="2" t="s">
        <v>1</v>
      </c>
      <c r="F3" s="2"/>
      <c r="G3" s="2"/>
      <c r="I3" s="2"/>
      <c r="J3" s="2"/>
      <c r="K3" s="5">
        <f>COUNTIF(K6:K99,"=Q1")/COUNTIF(H6:H99,"=SCI(E)")</f>
        <v>0.63513513513513509</v>
      </c>
    </row>
    <row r="4" spans="1:11" ht="16.5" customHeight="1">
      <c r="C4" s="2"/>
      <c r="D4" s="2"/>
      <c r="E4" s="2"/>
      <c r="F4" s="2"/>
      <c r="G4" s="2"/>
      <c r="I4" s="2"/>
      <c r="J4" s="2"/>
    </row>
    <row r="5" spans="1:11" ht="16.5" customHeight="1">
      <c r="B5" s="13" t="s">
        <v>2</v>
      </c>
      <c r="C5" s="13" t="s">
        <v>3</v>
      </c>
      <c r="D5" s="13" t="s">
        <v>4</v>
      </c>
      <c r="E5" s="21" t="s">
        <v>5</v>
      </c>
      <c r="F5" s="4" t="s">
        <v>7</v>
      </c>
      <c r="G5" s="12" t="s">
        <v>11</v>
      </c>
      <c r="H5" s="22" t="s">
        <v>553</v>
      </c>
      <c r="I5" s="11" t="s">
        <v>142</v>
      </c>
      <c r="J5" s="11" t="s">
        <v>143</v>
      </c>
      <c r="K5" s="22" t="s">
        <v>6</v>
      </c>
    </row>
    <row r="6" spans="1:11" ht="17.399999999999999">
      <c r="A6" s="5"/>
      <c r="B6" s="6">
        <v>1</v>
      </c>
      <c r="C6" s="7">
        <v>2001</v>
      </c>
      <c r="D6" s="7">
        <v>1</v>
      </c>
      <c r="E6" s="10" t="s">
        <v>540</v>
      </c>
      <c r="F6" s="7" t="s">
        <v>144</v>
      </c>
      <c r="G6" s="7"/>
      <c r="H6" s="9" t="str">
        <f>INDEX(학술지정보!$C$9:$O$50,MATCH($F6,학술지정보!$C$9:$C$50,0),2)</f>
        <v>SCI(E)</v>
      </c>
      <c r="I6" s="96">
        <f>IF(H6="SCOPUS","N.A.",INDEX(학술지정보!$C$9:$O$50,MATCH($F6,학술지정보!$C$9:$C$50,0),12))</f>
        <v>6.8949367088607598</v>
      </c>
      <c r="J6" s="9">
        <f>IF(H6="SCOPUS","N.A.",INDEX(학술지정보!$C$9:$O$50,MATCH($F6,학술지정보!$C$9:$C$50,0),13))</f>
        <v>2.4389999999999998E-2</v>
      </c>
      <c r="K6" s="9" t="str">
        <f>IF(H6="SCOPUS","N.A.",INDEX(학술지정보!$C$9:$O$50,MATCH($F6,학술지정보!$C$9:$C$50,0),11))</f>
        <v>Q1</v>
      </c>
    </row>
    <row r="7" spans="1:11" ht="17.399999999999999">
      <c r="A7" s="5"/>
      <c r="B7" s="6">
        <f>B6+1</f>
        <v>2</v>
      </c>
      <c r="C7" s="7">
        <v>2002</v>
      </c>
      <c r="D7" s="7">
        <v>1</v>
      </c>
      <c r="E7" s="10" t="s">
        <v>541</v>
      </c>
      <c r="F7" s="7" t="s">
        <v>145</v>
      </c>
      <c r="G7" s="7"/>
      <c r="H7" s="9" t="str">
        <f>INDEX(학술지정보!$C$9:$O$50,MATCH($F7,학술지정보!$C$9:$C$50,0),2)</f>
        <v>SCI(E)</v>
      </c>
      <c r="I7" s="96">
        <f>IF(H7="SCOPUS","N.A.",INDEX(학술지정보!$C$9:$O$50,MATCH($F7,학술지정보!$C$9:$C$50,0),12))</f>
        <v>4.1788018433179728</v>
      </c>
      <c r="J7" s="9">
        <f>IF(H7="SCOPUS","N.A.",INDEX(학술지정보!$C$9:$O$50,MATCH($F7,학술지정보!$C$9:$C$50,0),13))</f>
        <v>1.7729999999999999E-2</v>
      </c>
      <c r="K7" s="9" t="str">
        <f>IF(H7="SCOPUS","N.A.",INDEX(학술지정보!$C$9:$O$50,MATCH($F7,학술지정보!$C$9:$C$50,0),11))</f>
        <v>Q1</v>
      </c>
    </row>
    <row r="8" spans="1:11" ht="17.399999999999999">
      <c r="A8" s="5"/>
      <c r="B8" s="6">
        <f t="shared" ref="B8:B71" si="0">B7+1</f>
        <v>3</v>
      </c>
      <c r="C8" s="7">
        <v>2004</v>
      </c>
      <c r="D8" s="7">
        <v>1</v>
      </c>
      <c r="E8" s="10" t="s">
        <v>377</v>
      </c>
      <c r="F8" s="7" t="s">
        <v>378</v>
      </c>
      <c r="G8" s="7"/>
      <c r="H8" s="9" t="str">
        <f>INDEX(학술지정보!$C$9:$O$50,MATCH($F8,학술지정보!$C$9:$C$50,0),2)</f>
        <v>SCI(E)</v>
      </c>
      <c r="I8" s="96">
        <f>IF(H8="SCOPUS","N.A.",INDEX(학술지정보!$C$9:$O$50,MATCH($F8,학술지정보!$C$9:$C$50,0),12))</f>
        <v>2.5113871635610767</v>
      </c>
      <c r="J8" s="9">
        <f>IF(H8="SCOPUS","N.A.",INDEX(학술지정보!$C$9:$O$50,MATCH($F8,학술지정보!$C$9:$C$50,0),13))</f>
        <v>4.45E-3</v>
      </c>
      <c r="K8" s="9" t="str">
        <f>IF(H8="SCOPUS","N.A.",INDEX(학술지정보!$C$9:$O$50,MATCH($F8,학술지정보!$C$9:$C$50,0),11))</f>
        <v>Q2</v>
      </c>
    </row>
    <row r="9" spans="1:11" ht="17.399999999999999">
      <c r="A9" s="5"/>
      <c r="B9" s="6">
        <f t="shared" si="0"/>
        <v>4</v>
      </c>
      <c r="C9" s="7">
        <v>2005</v>
      </c>
      <c r="D9" s="7">
        <v>1</v>
      </c>
      <c r="E9" s="10" t="s">
        <v>542</v>
      </c>
      <c r="F9" s="7" t="s">
        <v>146</v>
      </c>
      <c r="G9" s="7"/>
      <c r="H9" s="9" t="str">
        <f>INDEX(학술지정보!$C$9:$O$50,MATCH($F9,학술지정보!$C$9:$C$50,0),2)</f>
        <v>SCI(E)</v>
      </c>
      <c r="I9" s="96">
        <f>IF(H9="SCOPUS","N.A.",INDEX(학술지정보!$C$9:$O$50,MATCH($F9,학술지정보!$C$9:$C$50,0),12))</f>
        <v>6.6583011583011587</v>
      </c>
      <c r="J9" s="9">
        <f>IF(H9="SCOPUS","N.A.",INDEX(학술지정보!$C$9:$O$50,MATCH($F9,학술지정보!$C$9:$C$50,0),13))</f>
        <v>2.2210000000000001E-2</v>
      </c>
      <c r="K9" s="9" t="str">
        <f>IF(H9="SCOPUS","N.A.",INDEX(학술지정보!$C$9:$O$50,MATCH($F9,학술지정보!$C$9:$C$50,0),11))</f>
        <v>Q1</v>
      </c>
    </row>
    <row r="10" spans="1:11" ht="17.399999999999999">
      <c r="A10" s="5"/>
      <c r="B10" s="6">
        <f t="shared" si="0"/>
        <v>5</v>
      </c>
      <c r="C10" s="7">
        <v>2005</v>
      </c>
      <c r="D10" s="7">
        <v>2</v>
      </c>
      <c r="E10" s="10" t="s">
        <v>147</v>
      </c>
      <c r="F10" s="7" t="s">
        <v>145</v>
      </c>
      <c r="G10" s="7"/>
      <c r="H10" s="9" t="str">
        <f>INDEX(학술지정보!$C$9:$O$50,MATCH($F10,학술지정보!$C$9:$C$50,0),2)</f>
        <v>SCI(E)</v>
      </c>
      <c r="I10" s="96">
        <f>IF(H10="SCOPUS","N.A.",INDEX(학술지정보!$C$9:$O$50,MATCH($F10,학술지정보!$C$9:$C$50,0),12))</f>
        <v>4.1788018433179728</v>
      </c>
      <c r="J10" s="9">
        <f>IF(H10="SCOPUS","N.A.",INDEX(학술지정보!$C$9:$O$50,MATCH($F10,학술지정보!$C$9:$C$50,0),13))</f>
        <v>1.7729999999999999E-2</v>
      </c>
      <c r="K10" s="9" t="str">
        <f>IF(H10="SCOPUS","N.A.",INDEX(학술지정보!$C$9:$O$50,MATCH($F10,학술지정보!$C$9:$C$50,0),11))</f>
        <v>Q1</v>
      </c>
    </row>
    <row r="11" spans="1:11" ht="17.399999999999999">
      <c r="A11" s="5"/>
      <c r="B11" s="6">
        <f t="shared" si="0"/>
        <v>6</v>
      </c>
      <c r="C11" s="7">
        <v>2005</v>
      </c>
      <c r="D11" s="7">
        <f t="shared" ref="D11" si="1">D10+1</f>
        <v>3</v>
      </c>
      <c r="E11" s="10" t="s">
        <v>543</v>
      </c>
      <c r="F11" s="7" t="s">
        <v>145</v>
      </c>
      <c r="G11" s="7" t="s">
        <v>544</v>
      </c>
      <c r="H11" s="9" t="str">
        <f>INDEX(학술지정보!$C$9:$O$50,MATCH($F11,학술지정보!$C$9:$C$50,0),2)</f>
        <v>SCI(E)</v>
      </c>
      <c r="I11" s="96">
        <f>IF(H11="SCOPUS","N.A.",INDEX(학술지정보!$C$9:$O$50,MATCH($F11,학술지정보!$C$9:$C$50,0),12))</f>
        <v>4.1788018433179728</v>
      </c>
      <c r="J11" s="9">
        <f>IF(H11="SCOPUS","N.A.",INDEX(학술지정보!$C$9:$O$50,MATCH($F11,학술지정보!$C$9:$C$50,0),13))</f>
        <v>1.7729999999999999E-2</v>
      </c>
      <c r="K11" s="9" t="str">
        <f>IF(H11="SCOPUS","N.A.",INDEX(학술지정보!$C$9:$O$50,MATCH($F11,학술지정보!$C$9:$C$50,0),11))</f>
        <v>Q1</v>
      </c>
    </row>
    <row r="12" spans="1:11" ht="17.399999999999999">
      <c r="A12" s="5"/>
      <c r="B12" s="6">
        <f t="shared" si="0"/>
        <v>7</v>
      </c>
      <c r="C12" s="7">
        <v>2006</v>
      </c>
      <c r="D12" s="7">
        <v>1</v>
      </c>
      <c r="E12" s="10" t="s">
        <v>552</v>
      </c>
      <c r="F12" s="7" t="s">
        <v>146</v>
      </c>
      <c r="G12" s="7"/>
      <c r="H12" s="9" t="str">
        <f>INDEX(학술지정보!$C$9:$O$50,MATCH($F12,학술지정보!$C$9:$C$50,0),2)</f>
        <v>SCI(E)</v>
      </c>
      <c r="I12" s="96">
        <f>IF(H12="SCOPUS","N.A.",INDEX(학술지정보!$C$9:$O$50,MATCH($F12,학술지정보!$C$9:$C$50,0),12))</f>
        <v>6.6583011583011587</v>
      </c>
      <c r="J12" s="9">
        <f>IF(H12="SCOPUS","N.A.",INDEX(학술지정보!$C$9:$O$50,MATCH($F12,학술지정보!$C$9:$C$50,0),13))</f>
        <v>2.2210000000000001E-2</v>
      </c>
      <c r="K12" s="9" t="str">
        <f>IF(H12="SCOPUS","N.A.",INDEX(학술지정보!$C$9:$O$50,MATCH($F12,학술지정보!$C$9:$C$50,0),11))</f>
        <v>Q1</v>
      </c>
    </row>
    <row r="13" spans="1:11" ht="17.399999999999999">
      <c r="A13" s="5"/>
      <c r="B13" s="6">
        <f t="shared" si="0"/>
        <v>8</v>
      </c>
      <c r="C13" s="7">
        <v>2007</v>
      </c>
      <c r="D13" s="7">
        <v>1</v>
      </c>
      <c r="E13" s="10" t="s">
        <v>554</v>
      </c>
      <c r="F13" s="7" t="s">
        <v>555</v>
      </c>
      <c r="G13" s="7" t="s">
        <v>544</v>
      </c>
      <c r="H13" s="9" t="str">
        <f>INDEX(학술지정보!$C$9:$O$50,MATCH($F13,학술지정보!$C$9:$C$50,0),2)</f>
        <v>SCI(E)</v>
      </c>
      <c r="I13" s="96">
        <f>IF(H13="SCOPUS","N.A.",INDEX(학술지정보!$C$9:$O$50,MATCH($F13,학술지정보!$C$9:$C$50,0),12))</f>
        <v>1.1096394407652685</v>
      </c>
      <c r="J13" s="9">
        <f>IF(H13="SCOPUS","N.A.",INDEX(학술지정보!$C$9:$O$50,MATCH($F13,학술지정보!$C$9:$C$50,0),13))</f>
        <v>8.0700000000000008E-3</v>
      </c>
      <c r="K13" s="9" t="str">
        <f>IF(H13="SCOPUS","N.A.",INDEX(학술지정보!$C$9:$O$50,MATCH($F13,학술지정보!$C$9:$C$50,0),11))</f>
        <v>Q4</v>
      </c>
    </row>
    <row r="14" spans="1:11" ht="17.399999999999999">
      <c r="A14" s="5"/>
      <c r="B14" s="6">
        <f t="shared" si="0"/>
        <v>9</v>
      </c>
      <c r="C14" s="7">
        <v>2008</v>
      </c>
      <c r="D14" s="7">
        <v>1</v>
      </c>
      <c r="E14" s="10" t="s">
        <v>379</v>
      </c>
      <c r="F14" s="7" t="s">
        <v>380</v>
      </c>
      <c r="G14" s="7"/>
      <c r="H14" s="9" t="str">
        <f>INDEX(학술지정보!$C$9:$O$50,MATCH($F14,학술지정보!$C$9:$C$50,0),2)</f>
        <v>SCI(E)</v>
      </c>
      <c r="I14" s="96">
        <f>IF(H14="SCOPUS","N.A.",INDEX(학술지정보!$C$9:$O$50,MATCH($F14,학술지정보!$C$9:$C$50,0),12))</f>
        <v>10.858569051580698</v>
      </c>
      <c r="J14" s="9">
        <f>IF(H14="SCOPUS","N.A.",INDEX(학술지정보!$C$9:$O$50,MATCH($F14,학술지정보!$C$9:$C$50,0),13))</f>
        <v>2.7980000000000001E-2</v>
      </c>
      <c r="K14" s="9" t="str">
        <f>IF(H14="SCOPUS","N.A.",INDEX(학술지정보!$C$9:$O$50,MATCH($F14,학술지정보!$C$9:$C$50,0),11))</f>
        <v>Q1</v>
      </c>
    </row>
    <row r="15" spans="1:11" ht="17.399999999999999">
      <c r="A15" s="5"/>
      <c r="B15" s="6">
        <f t="shared" si="0"/>
        <v>10</v>
      </c>
      <c r="C15" s="7">
        <v>2008</v>
      </c>
      <c r="D15" s="7">
        <v>2</v>
      </c>
      <c r="E15" s="10" t="s">
        <v>381</v>
      </c>
      <c r="F15" s="7" t="s">
        <v>382</v>
      </c>
      <c r="G15" s="7" t="s">
        <v>544</v>
      </c>
      <c r="H15" s="9" t="str">
        <f>INDEX(학술지정보!$C$9:$O$50,MATCH($F15,학술지정보!$C$9:$C$50,0),2)</f>
        <v>SCI(E)</v>
      </c>
      <c r="I15" s="96">
        <f>IF(H15="SCOPUS","N.A.",INDEX(학술지정보!$C$9:$O$50,MATCH($F15,학술지정보!$C$9:$C$50,0),12))</f>
        <v>3.0376811594202899</v>
      </c>
      <c r="J15" s="9">
        <f>IF(H15="SCOPUS","N.A.",INDEX(학술지정보!$C$9:$O$50,MATCH($F15,학술지정보!$C$9:$C$50,0),13))</f>
        <v>6.5900000000000004E-3</v>
      </c>
      <c r="K15" s="9" t="str">
        <f>IF(H15="SCOPUS","N.A.",INDEX(학술지정보!$C$9:$O$50,MATCH($F15,학술지정보!$C$9:$C$50,0),11))</f>
        <v>Q2</v>
      </c>
    </row>
    <row r="16" spans="1:11" ht="17.399999999999999">
      <c r="A16" s="5"/>
      <c r="B16" s="6">
        <f t="shared" si="0"/>
        <v>11</v>
      </c>
      <c r="C16" s="7">
        <v>2008</v>
      </c>
      <c r="D16" s="7">
        <v>3</v>
      </c>
      <c r="E16" s="10" t="s">
        <v>383</v>
      </c>
      <c r="F16" s="7" t="s">
        <v>384</v>
      </c>
      <c r="G16" s="7"/>
      <c r="H16" s="9" t="str">
        <f>INDEX(학술지정보!$C$9:$O$50,MATCH($F16,학술지정보!$C$9:$C$50,0),2)</f>
        <v>SCI(E)</v>
      </c>
      <c r="I16" s="96">
        <f>IF(H16="SCOPUS","N.A.",INDEX(학술지정보!$C$9:$O$50,MATCH($F16,학술지정보!$C$9:$C$50,0),12))</f>
        <v>2.6493506493506493</v>
      </c>
      <c r="J16" s="9">
        <f>IF(H16="SCOPUS","N.A.",INDEX(학술지정보!$C$9:$O$50,MATCH($F16,학술지정보!$C$9:$C$50,0),13))</f>
        <v>8.4499999999999992E-3</v>
      </c>
      <c r="K16" s="9" t="str">
        <f>IF(H16="SCOPUS","N.A.",INDEX(학술지정보!$C$9:$O$50,MATCH($F16,학술지정보!$C$9:$C$50,0),11))</f>
        <v>Q2</v>
      </c>
    </row>
    <row r="17" spans="1:11" ht="17.399999999999999">
      <c r="A17" s="5"/>
      <c r="B17" s="6">
        <f t="shared" si="0"/>
        <v>12</v>
      </c>
      <c r="C17" s="7">
        <v>2009</v>
      </c>
      <c r="D17" s="7">
        <v>1</v>
      </c>
      <c r="E17" s="10" t="s">
        <v>545</v>
      </c>
      <c r="F17" s="7" t="s">
        <v>145</v>
      </c>
      <c r="G17" s="7" t="s">
        <v>544</v>
      </c>
      <c r="H17" s="9" t="str">
        <f>INDEX(학술지정보!$C$9:$O$50,MATCH($F17,학술지정보!$C$9:$C$50,0),2)</f>
        <v>SCI(E)</v>
      </c>
      <c r="I17" s="96">
        <f>IF(H17="SCOPUS","N.A.",INDEX(학술지정보!$C$9:$O$50,MATCH($F17,학술지정보!$C$9:$C$50,0),12))</f>
        <v>4.1788018433179728</v>
      </c>
      <c r="J17" s="9">
        <f>IF(H17="SCOPUS","N.A.",INDEX(학술지정보!$C$9:$O$50,MATCH($F17,학술지정보!$C$9:$C$50,0),13))</f>
        <v>1.7729999999999999E-2</v>
      </c>
      <c r="K17" s="9" t="str">
        <f>IF(H17="SCOPUS","N.A.",INDEX(학술지정보!$C$9:$O$50,MATCH($F17,학술지정보!$C$9:$C$50,0),11))</f>
        <v>Q1</v>
      </c>
    </row>
    <row r="18" spans="1:11" ht="17.399999999999999">
      <c r="A18" s="5"/>
      <c r="B18" s="6">
        <f t="shared" si="0"/>
        <v>13</v>
      </c>
      <c r="C18" s="7">
        <v>2009</v>
      </c>
      <c r="D18" s="7">
        <v>2</v>
      </c>
      <c r="E18" s="10" t="s">
        <v>386</v>
      </c>
      <c r="F18" s="7" t="s">
        <v>154</v>
      </c>
      <c r="G18" s="7" t="s">
        <v>544</v>
      </c>
      <c r="H18" s="9" t="str">
        <f>INDEX(학술지정보!$C$9:$O$50,MATCH($F18,학술지정보!$C$9:$C$50,0),2)</f>
        <v>SCI(E)</v>
      </c>
      <c r="I18" s="96">
        <f>IF(H18="SCOPUS","N.A.",INDEX(학술지정보!$C$9:$O$50,MATCH($F18,학술지정보!$C$9:$C$50,0),12))</f>
        <v>1.1096394407652685</v>
      </c>
      <c r="J18" s="9">
        <f>IF(H18="SCOPUS","N.A.",INDEX(학술지정보!$C$9:$O$50,MATCH($F18,학술지정보!$C$9:$C$50,0),13))</f>
        <v>8.0700000000000008E-3</v>
      </c>
      <c r="K18" s="9" t="str">
        <f>IF(H18="SCOPUS","N.A.",INDEX(학술지정보!$C$9:$O$50,MATCH($F18,학술지정보!$C$9:$C$50,0),11))</f>
        <v>Q4</v>
      </c>
    </row>
    <row r="19" spans="1:11" ht="17.399999999999999">
      <c r="A19" s="5"/>
      <c r="B19" s="6">
        <f t="shared" si="0"/>
        <v>14</v>
      </c>
      <c r="C19" s="7">
        <v>2010</v>
      </c>
      <c r="D19" s="7">
        <v>1</v>
      </c>
      <c r="E19" s="10" t="s">
        <v>385</v>
      </c>
      <c r="F19" s="7" t="s">
        <v>546</v>
      </c>
      <c r="G19" s="7" t="s">
        <v>544</v>
      </c>
      <c r="H19" s="9" t="str">
        <f>INDEX(학술지정보!$C$9:$O$50,MATCH($F19,학술지정보!$C$9:$C$50,0),2)</f>
        <v>SCI(E)</v>
      </c>
      <c r="I19" s="96">
        <f>IF(H19="SCOPUS","N.A.",INDEX(학술지정보!$C$9:$O$50,MATCH($F19,학술지정보!$C$9:$C$50,0),12))</f>
        <v>4.2049469964664308</v>
      </c>
      <c r="J19" s="9">
        <f>IF(H19="SCOPUS","N.A.",INDEX(학술지정보!$C$9:$O$50,MATCH($F19,학술지정보!$C$9:$C$50,0),13))</f>
        <v>6.13E-3</v>
      </c>
      <c r="K19" s="9" t="str">
        <f>IF(H19="SCOPUS","N.A.",INDEX(학술지정보!$C$9:$O$50,MATCH($F19,학술지정보!$C$9:$C$50,0),11))</f>
        <v>Q1</v>
      </c>
    </row>
    <row r="20" spans="1:11" ht="17.399999999999999">
      <c r="A20" s="5"/>
      <c r="B20" s="6">
        <f t="shared" si="0"/>
        <v>15</v>
      </c>
      <c r="C20" s="7">
        <v>2010</v>
      </c>
      <c r="D20" s="7">
        <v>2</v>
      </c>
      <c r="E20" s="100" t="s">
        <v>387</v>
      </c>
      <c r="F20" s="7" t="s">
        <v>388</v>
      </c>
      <c r="G20" s="7" t="s">
        <v>544</v>
      </c>
      <c r="H20" s="9" t="str">
        <f>INDEX(학술지정보!$C$9:$O$50,MATCH($F20,학술지정보!$C$9:$C$50,0),2)</f>
        <v>SCI(E)</v>
      </c>
      <c r="I20" s="96">
        <f>IF(H20="SCOPUS","N.A.",INDEX(학술지정보!$C$9:$O$50,MATCH($F20,학술지정보!$C$9:$C$50,0),12))</f>
        <v>1.4491525423728813</v>
      </c>
      <c r="J20" s="9">
        <f>IF(H20="SCOPUS","N.A.",INDEX(학술지정보!$C$9:$O$50,MATCH($F20,학술지정보!$C$9:$C$50,0),13))</f>
        <v>7.1000000000000002E-4</v>
      </c>
      <c r="K20" s="9" t="str">
        <f>IF(H20="SCOPUS","N.A.",INDEX(학술지정보!$C$9:$O$50,MATCH($F20,학술지정보!$C$9:$C$50,0),11))</f>
        <v>Q3</v>
      </c>
    </row>
    <row r="21" spans="1:11" ht="17.399999999999999">
      <c r="A21" s="5"/>
      <c r="B21" s="6">
        <f t="shared" si="0"/>
        <v>16</v>
      </c>
      <c r="C21" s="7">
        <v>2011</v>
      </c>
      <c r="D21" s="7">
        <v>1</v>
      </c>
      <c r="E21" s="10" t="s">
        <v>389</v>
      </c>
      <c r="F21" s="7" t="s">
        <v>161</v>
      </c>
      <c r="G21" s="7"/>
      <c r="H21" s="9" t="str">
        <f>INDEX(학술지정보!$C$9:$O$50,MATCH($F21,학술지정보!$C$9:$C$50,0),2)</f>
        <v>SCI(E)</v>
      </c>
      <c r="I21" s="96">
        <f>IF(H21="SCOPUS","N.A.",INDEX(학술지정보!$C$9:$O$50,MATCH($F21,학술지정보!$C$9:$C$50,0),12))</f>
        <v>7.0122807017543858</v>
      </c>
      <c r="J21" s="9">
        <f>IF(H21="SCOPUS","N.A.",INDEX(학술지정보!$C$9:$O$50,MATCH($F21,학술지정보!$C$9:$C$50,0),13))</f>
        <v>1.7149999999999999E-2</v>
      </c>
      <c r="K21" s="9" t="str">
        <f>IF(H21="SCOPUS","N.A.",INDEX(학술지정보!$C$9:$O$50,MATCH($F21,학술지정보!$C$9:$C$50,0),11))</f>
        <v>Q1</v>
      </c>
    </row>
    <row r="22" spans="1:11" ht="17.399999999999999">
      <c r="A22" s="5"/>
      <c r="B22" s="6">
        <f t="shared" si="0"/>
        <v>17</v>
      </c>
      <c r="C22" s="7">
        <v>2012</v>
      </c>
      <c r="D22" s="7">
        <v>1</v>
      </c>
      <c r="E22" s="10" t="s">
        <v>561</v>
      </c>
      <c r="F22" s="7" t="s">
        <v>13</v>
      </c>
      <c r="G22" s="7" t="s">
        <v>562</v>
      </c>
      <c r="H22" s="9" t="str">
        <f>INDEX(학술지정보!$C$9:$O$50,MATCH($F22,학술지정보!$C$9:$C$50,0),2)</f>
        <v>SCI(E)</v>
      </c>
      <c r="I22" s="96">
        <f>IF(H22="SCOPUS","N.A.",INDEX(학술지정보!$C$9:$O$50,MATCH($F22,학술지정보!$C$9:$C$50,0),12))</f>
        <v>1.9105011933174225</v>
      </c>
      <c r="J22" s="9">
        <f>IF(H22="SCOPUS","N.A.",INDEX(학술지정보!$C$9:$O$50,MATCH($F22,학술지정보!$C$9:$C$50,0),13))</f>
        <v>7.1199999999999996E-3</v>
      </c>
      <c r="K22" s="9" t="str">
        <f>IF(H22="SCOPUS","N.A.",INDEX(학술지정보!$C$9:$O$50,MATCH($F22,학술지정보!$C$9:$C$50,0),11))</f>
        <v>Q2</v>
      </c>
    </row>
    <row r="23" spans="1:11" ht="17.399999999999999">
      <c r="A23" s="5"/>
      <c r="B23" s="6">
        <f t="shared" si="0"/>
        <v>18</v>
      </c>
      <c r="C23" s="7">
        <v>2012</v>
      </c>
      <c r="D23" s="7">
        <v>2</v>
      </c>
      <c r="E23" s="10" t="s">
        <v>547</v>
      </c>
      <c r="F23" s="7" t="s">
        <v>145</v>
      </c>
      <c r="G23" s="7" t="s">
        <v>544</v>
      </c>
      <c r="H23" s="9" t="str">
        <f>INDEX(학술지정보!$C$9:$O$50,MATCH($F23,학술지정보!$C$9:$C$50,0),2)</f>
        <v>SCI(E)</v>
      </c>
      <c r="I23" s="96">
        <f>IF(H23="SCOPUS","N.A.",INDEX(학술지정보!$C$9:$O$50,MATCH($F23,학술지정보!$C$9:$C$50,0),12))</f>
        <v>4.1788018433179728</v>
      </c>
      <c r="J23" s="9">
        <f>IF(H23="SCOPUS","N.A.",INDEX(학술지정보!$C$9:$O$50,MATCH($F23,학술지정보!$C$9:$C$50,0),13))</f>
        <v>1.7729999999999999E-2</v>
      </c>
      <c r="K23" s="9" t="str">
        <f>IF(H23="SCOPUS","N.A.",INDEX(학술지정보!$C$9:$O$50,MATCH($F23,학술지정보!$C$9:$C$50,0),11))</f>
        <v>Q1</v>
      </c>
    </row>
    <row r="24" spans="1:11" ht="17.399999999999999">
      <c r="A24" s="5"/>
      <c r="B24" s="6">
        <f t="shared" si="0"/>
        <v>19</v>
      </c>
      <c r="C24" s="7">
        <v>2013</v>
      </c>
      <c r="D24" s="7">
        <v>1</v>
      </c>
      <c r="E24" s="10" t="s">
        <v>548</v>
      </c>
      <c r="F24" s="7" t="s">
        <v>148</v>
      </c>
      <c r="G24" s="7"/>
      <c r="H24" s="9" t="str">
        <f>INDEX(학술지정보!$C$9:$O$50,MATCH($F24,학술지정보!$C$9:$C$50,0),2)</f>
        <v>SCI(E)</v>
      </c>
      <c r="I24" s="96">
        <f>IF(H24="SCOPUS","N.A.",INDEX(학술지정보!$C$9:$O$50,MATCH($F24,학술지정보!$C$9:$C$50,0),12))</f>
        <v>7.0122807017543858</v>
      </c>
      <c r="J24" s="9">
        <f>IF(H24="SCOPUS","N.A.",INDEX(학술지정보!$C$9:$O$50,MATCH($F24,학술지정보!$C$9:$C$50,0),13))</f>
        <v>1.7149999999999999E-2</v>
      </c>
      <c r="K24" s="9" t="str">
        <f>IF(H24="SCOPUS","N.A.",INDEX(학술지정보!$C$9:$O$50,MATCH($F24,학술지정보!$C$9:$C$50,0),11))</f>
        <v>Q1</v>
      </c>
    </row>
    <row r="25" spans="1:11" ht="17.399999999999999">
      <c r="A25" s="5"/>
      <c r="B25" s="6">
        <f t="shared" si="0"/>
        <v>20</v>
      </c>
      <c r="C25" s="7">
        <v>2013</v>
      </c>
      <c r="D25" s="7">
        <v>2</v>
      </c>
      <c r="E25" s="10" t="s">
        <v>390</v>
      </c>
      <c r="F25" s="7" t="s">
        <v>391</v>
      </c>
      <c r="G25" s="7"/>
      <c r="H25" s="9" t="str">
        <f>INDEX(학술지정보!$C$9:$O$50,MATCH($F25,학술지정보!$C$9:$C$50,0),2)</f>
        <v>SCI(E)</v>
      </c>
      <c r="I25" s="96">
        <f>IF(H25="SCOPUS","N.A.",INDEX(학술지정보!$C$9:$O$50,MATCH($F25,학술지정보!$C$9:$C$50,0),12))</f>
        <v>1.4705882352941178</v>
      </c>
      <c r="J25" s="9">
        <f>IF(H25="SCOPUS","N.A.",INDEX(학술지정보!$C$9:$O$50,MATCH($F25,학술지정보!$C$9:$C$50,0),13))</f>
        <v>5.2999999999999998E-4</v>
      </c>
      <c r="K25" s="9" t="str">
        <f>IF(H25="SCOPUS","N.A.",INDEX(학술지정보!$C$9:$O$50,MATCH($F25,학술지정보!$C$9:$C$50,0),11))</f>
        <v>Q3</v>
      </c>
    </row>
    <row r="26" spans="1:11" ht="17.399999999999999">
      <c r="A26" s="5"/>
      <c r="B26" s="6">
        <f t="shared" si="0"/>
        <v>21</v>
      </c>
      <c r="C26" s="7">
        <v>2014</v>
      </c>
      <c r="D26" s="7">
        <v>1</v>
      </c>
      <c r="E26" s="10" t="s">
        <v>549</v>
      </c>
      <c r="F26" s="7" t="s">
        <v>145</v>
      </c>
      <c r="G26" s="7" t="s">
        <v>544</v>
      </c>
      <c r="H26" s="9" t="str">
        <f>INDEX(학술지정보!$C$9:$O$50,MATCH($F26,학술지정보!$C$9:$C$50,0),2)</f>
        <v>SCI(E)</v>
      </c>
      <c r="I26" s="96">
        <f>IF(H26="SCOPUS","N.A.",INDEX(학술지정보!$C$9:$O$50,MATCH($F26,학술지정보!$C$9:$C$50,0),12))</f>
        <v>4.1788018433179728</v>
      </c>
      <c r="J26" s="9">
        <f>IF(H26="SCOPUS","N.A.",INDEX(학술지정보!$C$9:$O$50,MATCH($F26,학술지정보!$C$9:$C$50,0),13))</f>
        <v>1.7729999999999999E-2</v>
      </c>
      <c r="K26" s="9" t="str">
        <f>IF(H26="SCOPUS","N.A.",INDEX(학술지정보!$C$9:$O$50,MATCH($F26,학술지정보!$C$9:$C$50,0),11))</f>
        <v>Q1</v>
      </c>
    </row>
    <row r="27" spans="1:11" ht="17.399999999999999">
      <c r="A27" s="5"/>
      <c r="B27" s="6">
        <f t="shared" si="0"/>
        <v>22</v>
      </c>
      <c r="C27" s="7">
        <v>2015</v>
      </c>
      <c r="D27" s="7">
        <v>1</v>
      </c>
      <c r="E27" s="10" t="s">
        <v>392</v>
      </c>
      <c r="F27" s="7" t="s">
        <v>393</v>
      </c>
      <c r="G27" s="7" t="s">
        <v>544</v>
      </c>
      <c r="H27" s="9" t="str">
        <f>INDEX(학술지정보!$C$9:$O$50,MATCH($F27,학술지정보!$C$9:$C$50,0),2)</f>
        <v>SCI(E)</v>
      </c>
      <c r="I27" s="96">
        <f>IF(H27="SCOPUS","N.A.",INDEX(학술지정보!$C$9:$O$50,MATCH($F27,학술지정보!$C$9:$C$50,0),12))</f>
        <v>3.7847866419294989</v>
      </c>
      <c r="J27" s="9">
        <f>IF(H27="SCOPUS","N.A.",INDEX(학술지정보!$C$9:$O$50,MATCH($F27,학술지정보!$C$9:$C$50,0),13))</f>
        <v>8.8299999999999993E-3</v>
      </c>
      <c r="K27" s="9" t="str">
        <f>IF(H27="SCOPUS","N.A.",INDEX(학술지정보!$C$9:$O$50,MATCH($F27,학술지정보!$C$9:$C$50,0),11))</f>
        <v>Q1</v>
      </c>
    </row>
    <row r="28" spans="1:11" ht="17.399999999999999">
      <c r="A28" s="5"/>
      <c r="B28" s="6">
        <f t="shared" si="0"/>
        <v>23</v>
      </c>
      <c r="C28" s="7">
        <v>2015</v>
      </c>
      <c r="D28" s="7">
        <v>2</v>
      </c>
      <c r="E28" s="10" t="s">
        <v>394</v>
      </c>
      <c r="F28" s="7" t="s">
        <v>395</v>
      </c>
      <c r="G28" s="7" t="s">
        <v>544</v>
      </c>
      <c r="H28" s="9" t="str">
        <f>INDEX(학술지정보!$C$9:$O$50,MATCH($F28,학술지정보!$C$9:$C$50,0),2)</f>
        <v>SCI(E)</v>
      </c>
      <c r="I28" s="96">
        <f>IF(H28="SCOPUS","N.A.",INDEX(학술지정보!$C$9:$O$50,MATCH($F28,학술지정보!$C$9:$C$50,0),12))</f>
        <v>4.1788018433179728</v>
      </c>
      <c r="J28" s="9">
        <f>IF(H28="SCOPUS","N.A.",INDEX(학술지정보!$C$9:$O$50,MATCH($F28,학술지정보!$C$9:$C$50,0),13))</f>
        <v>1.7729999999999999E-2</v>
      </c>
      <c r="K28" s="9" t="str">
        <f>IF(H28="SCOPUS","N.A.",INDEX(학술지정보!$C$9:$O$50,MATCH($F28,학술지정보!$C$9:$C$50,0),11))</f>
        <v>Q1</v>
      </c>
    </row>
    <row r="29" spans="1:11" ht="17.399999999999999">
      <c r="A29" s="5"/>
      <c r="B29" s="6">
        <f t="shared" si="0"/>
        <v>24</v>
      </c>
      <c r="C29" s="7">
        <v>2016</v>
      </c>
      <c r="D29" s="7">
        <v>1</v>
      </c>
      <c r="E29" s="10" t="s">
        <v>397</v>
      </c>
      <c r="F29" s="7" t="s">
        <v>393</v>
      </c>
      <c r="G29" s="7" t="s">
        <v>544</v>
      </c>
      <c r="H29" s="9" t="str">
        <f>INDEX(학술지정보!$C$9:$O$50,MATCH($F29,학술지정보!$C$9:$C$50,0),2)</f>
        <v>SCI(E)</v>
      </c>
      <c r="I29" s="96">
        <f>IF(H29="SCOPUS","N.A.",INDEX(학술지정보!$C$9:$O$50,MATCH($F29,학술지정보!$C$9:$C$50,0),12))</f>
        <v>3.7847866419294989</v>
      </c>
      <c r="J29" s="9">
        <f>IF(H29="SCOPUS","N.A.",INDEX(학술지정보!$C$9:$O$50,MATCH($F29,학술지정보!$C$9:$C$50,0),13))</f>
        <v>8.8299999999999993E-3</v>
      </c>
      <c r="K29" s="9" t="str">
        <f>IF(H29="SCOPUS","N.A.",INDEX(학술지정보!$C$9:$O$50,MATCH($F29,학술지정보!$C$9:$C$50,0),11))</f>
        <v>Q1</v>
      </c>
    </row>
    <row r="30" spans="1:11" ht="17.399999999999999">
      <c r="A30" s="5"/>
      <c r="B30" s="6">
        <f t="shared" si="0"/>
        <v>25</v>
      </c>
      <c r="C30" s="7">
        <v>2016</v>
      </c>
      <c r="D30" s="7">
        <v>2</v>
      </c>
      <c r="E30" s="100" t="s">
        <v>398</v>
      </c>
      <c r="F30" s="7" t="s">
        <v>399</v>
      </c>
      <c r="G30" s="7" t="s">
        <v>544</v>
      </c>
      <c r="H30" s="9" t="str">
        <f>INDEX(학술지정보!$C$9:$O$50,MATCH($F30,학술지정보!$C$9:$C$50,0),2)</f>
        <v>SCOPUS</v>
      </c>
      <c r="I30" s="96" t="str">
        <f>IF(H30="SCOPUS","N.A.",INDEX(학술지정보!$C$9:$O$50,MATCH($F30,학술지정보!$C$9:$C$50,0),12))</f>
        <v>N.A.</v>
      </c>
      <c r="J30" s="9" t="str">
        <f>IF(H30="SCOPUS","N.A.",INDEX(학술지정보!$C$9:$O$50,MATCH($F30,학술지정보!$C$9:$C$50,0),13))</f>
        <v>N.A.</v>
      </c>
      <c r="K30" s="9" t="str">
        <f>IF(H30="SCOPUS","N.A.",INDEX(학술지정보!$C$9:$O$50,MATCH($F30,학술지정보!$C$9:$C$50,0),11))</f>
        <v>N.A.</v>
      </c>
    </row>
    <row r="31" spans="1:11" ht="17.399999999999999">
      <c r="A31" s="5"/>
      <c r="B31" s="6">
        <f t="shared" si="0"/>
        <v>26</v>
      </c>
      <c r="C31" s="7">
        <v>2016</v>
      </c>
      <c r="D31" s="7">
        <v>3</v>
      </c>
      <c r="E31" s="10" t="s">
        <v>400</v>
      </c>
      <c r="F31" s="7" t="s">
        <v>401</v>
      </c>
      <c r="G31" s="7" t="s">
        <v>544</v>
      </c>
      <c r="H31" s="9" t="str">
        <f>INDEX(학술지정보!$C$9:$O$50,MATCH($F31,학술지정보!$C$9:$C$50,0),2)</f>
        <v>SCI(E)</v>
      </c>
      <c r="I31" s="96">
        <f>IF(H31="SCOPUS","N.A.",INDEX(학술지정보!$C$9:$O$50,MATCH($F31,학술지정보!$C$9:$C$50,0),12))</f>
        <v>4.5597586446971459</v>
      </c>
      <c r="J31" s="9">
        <f>IF(H31="SCOPUS","N.A.",INDEX(학술지정보!$C$9:$O$50,MATCH($F31,학술지정보!$C$9:$C$50,0),13))</f>
        <v>4.2540000000000001E-2</v>
      </c>
      <c r="K31" s="9" t="str">
        <f>IF(H31="SCOPUS","N.A.",INDEX(학술지정보!$C$9:$O$50,MATCH($F31,학술지정보!$C$9:$C$50,0),11))</f>
        <v>Q1</v>
      </c>
    </row>
    <row r="32" spans="1:11" ht="17.399999999999999">
      <c r="A32" s="5"/>
      <c r="B32" s="6">
        <f t="shared" si="0"/>
        <v>27</v>
      </c>
      <c r="C32" s="7">
        <v>2017</v>
      </c>
      <c r="D32" s="7">
        <v>1</v>
      </c>
      <c r="E32" s="10" t="s">
        <v>402</v>
      </c>
      <c r="F32" s="7" t="s">
        <v>403</v>
      </c>
      <c r="G32" s="7" t="s">
        <v>544</v>
      </c>
      <c r="H32" s="9" t="str">
        <f>INDEX(학술지정보!$C$9:$O$50,MATCH($F32,학술지정보!$C$9:$C$50,0),2)</f>
        <v>SCI(E)</v>
      </c>
      <c r="I32" s="96">
        <f>IF(H32="SCOPUS","N.A.",INDEX(학술지정보!$C$9:$O$50,MATCH($F32,학술지정보!$C$9:$C$50,0),12))</f>
        <v>3.7847866419294989</v>
      </c>
      <c r="J32" s="9">
        <f>IF(H32="SCOPUS","N.A.",INDEX(학술지정보!$C$9:$O$50,MATCH($F32,학술지정보!$C$9:$C$50,0),13))</f>
        <v>8.8299999999999993E-3</v>
      </c>
      <c r="K32" s="9" t="str">
        <f>IF(H32="SCOPUS","N.A.",INDEX(학술지정보!$C$9:$O$50,MATCH($F32,학술지정보!$C$9:$C$50,0),11))</f>
        <v>Q1</v>
      </c>
    </row>
    <row r="33" spans="1:11" ht="17.399999999999999">
      <c r="A33" s="5"/>
      <c r="B33" s="6">
        <f t="shared" si="0"/>
        <v>28</v>
      </c>
      <c r="C33" s="7">
        <v>2017</v>
      </c>
      <c r="D33" s="7">
        <v>2</v>
      </c>
      <c r="E33" s="10" t="s">
        <v>404</v>
      </c>
      <c r="F33" s="7" t="s">
        <v>401</v>
      </c>
      <c r="G33" s="7" t="s">
        <v>544</v>
      </c>
      <c r="H33" s="9" t="str">
        <f>INDEX(학술지정보!$C$9:$O$50,MATCH($F33,학술지정보!$C$9:$C$50,0),2)</f>
        <v>SCI(E)</v>
      </c>
      <c r="I33" s="96">
        <f>IF(H33="SCOPUS","N.A.",INDEX(학술지정보!$C$9:$O$50,MATCH($F33,학술지정보!$C$9:$C$50,0),12))</f>
        <v>4.5597586446971459</v>
      </c>
      <c r="J33" s="9">
        <f>IF(H33="SCOPUS","N.A.",INDEX(학술지정보!$C$9:$O$50,MATCH($F33,학술지정보!$C$9:$C$50,0),13))</f>
        <v>4.2540000000000001E-2</v>
      </c>
      <c r="K33" s="9" t="str">
        <f>IF(H33="SCOPUS","N.A.",INDEX(학술지정보!$C$9:$O$50,MATCH($F33,학술지정보!$C$9:$C$50,0),11))</f>
        <v>Q1</v>
      </c>
    </row>
    <row r="34" spans="1:11" ht="17.399999999999999">
      <c r="A34" s="5"/>
      <c r="B34" s="6">
        <f t="shared" si="0"/>
        <v>29</v>
      </c>
      <c r="C34" s="7">
        <v>2017</v>
      </c>
      <c r="D34" s="7">
        <v>3</v>
      </c>
      <c r="E34" s="10" t="s">
        <v>405</v>
      </c>
      <c r="F34" s="7" t="s">
        <v>406</v>
      </c>
      <c r="G34" s="7" t="s">
        <v>544</v>
      </c>
      <c r="H34" s="9" t="str">
        <f>INDEX(학술지정보!$C$9:$O$50,MATCH($F34,학술지정보!$C$9:$C$50,0),2)</f>
        <v>SCI(E)</v>
      </c>
      <c r="I34" s="96">
        <f>IF(H34="SCOPUS","N.A.",INDEX(학술지정보!$C$9:$O$50,MATCH($F34,학술지정보!$C$9:$C$50,0),12))</f>
        <v>6.6583011583011587</v>
      </c>
      <c r="J34" s="9">
        <f>IF(H34="SCOPUS","N.A.",INDEX(학술지정보!$C$9:$O$50,MATCH($F34,학술지정보!$C$9:$C$50,0),13))</f>
        <v>2.2210000000000001E-2</v>
      </c>
      <c r="K34" s="9" t="str">
        <f>IF(H34="SCOPUS","N.A.",INDEX(학술지정보!$C$9:$O$50,MATCH($F34,학술지정보!$C$9:$C$50,0),11))</f>
        <v>Q1</v>
      </c>
    </row>
    <row r="35" spans="1:11" ht="17.399999999999999">
      <c r="A35" s="5"/>
      <c r="B35" s="6">
        <f t="shared" si="0"/>
        <v>30</v>
      </c>
      <c r="C35" s="7">
        <v>2017</v>
      </c>
      <c r="D35" s="7">
        <v>4</v>
      </c>
      <c r="E35" s="10" t="s">
        <v>550</v>
      </c>
      <c r="F35" s="7" t="s">
        <v>407</v>
      </c>
      <c r="G35" s="7" t="s">
        <v>544</v>
      </c>
      <c r="H35" s="9" t="str">
        <f>INDEX(학술지정보!$C$9:$O$50,MATCH($F35,학술지정보!$C$9:$C$50,0),2)</f>
        <v>SCI(E)</v>
      </c>
      <c r="I35" s="96">
        <f>IF(H35="SCOPUS","N.A.",INDEX(학술지정보!$C$9:$O$50,MATCH($F35,학술지정보!$C$9:$C$50,0),12))</f>
        <v>2.6493506493506493</v>
      </c>
      <c r="J35" s="9">
        <f>IF(H35="SCOPUS","N.A.",INDEX(학술지정보!$C$9:$O$50,MATCH($F35,학술지정보!$C$9:$C$50,0),13))</f>
        <v>8.4499999999999992E-3</v>
      </c>
      <c r="K35" s="9" t="str">
        <f>IF(H35="SCOPUS","N.A.",INDEX(학술지정보!$C$9:$O$50,MATCH($F35,학술지정보!$C$9:$C$50,0),11))</f>
        <v>Q2</v>
      </c>
    </row>
    <row r="36" spans="1:11" ht="17.399999999999999">
      <c r="A36" s="5"/>
      <c r="B36" s="6">
        <f t="shared" si="0"/>
        <v>31</v>
      </c>
      <c r="C36" s="7">
        <v>2017</v>
      </c>
      <c r="D36" s="7">
        <v>5</v>
      </c>
      <c r="E36" s="10" t="s">
        <v>408</v>
      </c>
      <c r="F36" s="7" t="s">
        <v>409</v>
      </c>
      <c r="G36" s="7" t="s">
        <v>544</v>
      </c>
      <c r="H36" s="9" t="str">
        <f>INDEX(학술지정보!$C$9:$O$50,MATCH($F36,학술지정보!$C$9:$C$50,0),2)</f>
        <v>SCI(E)</v>
      </c>
      <c r="I36" s="96">
        <f>IF(H36="SCOPUS","N.A.",INDEX(학술지정보!$C$9:$O$50,MATCH($F36,학술지정보!$C$9:$C$50,0),12))</f>
        <v>5.4670588235294115</v>
      </c>
      <c r="J36" s="9">
        <f>IF(H36="SCOPUS","N.A.",INDEX(학술지정보!$C$9:$O$50,MATCH($F36,학술지정보!$C$9:$C$50,0),13))</f>
        <v>1.9609999999999999E-2</v>
      </c>
      <c r="K36" s="9" t="str">
        <f>IF(H36="SCOPUS","N.A.",INDEX(학술지정보!$C$9:$O$50,MATCH($F36,학술지정보!$C$9:$C$50,0),11))</f>
        <v>Q1</v>
      </c>
    </row>
    <row r="37" spans="1:11" ht="17.399999999999999">
      <c r="A37" s="5"/>
      <c r="B37" s="6">
        <f t="shared" si="0"/>
        <v>32</v>
      </c>
      <c r="C37" s="7">
        <v>2017</v>
      </c>
      <c r="D37" s="7">
        <v>6</v>
      </c>
      <c r="E37" s="10" t="s">
        <v>556</v>
      </c>
      <c r="F37" s="7" t="s">
        <v>13</v>
      </c>
      <c r="G37" s="7" t="s">
        <v>12</v>
      </c>
      <c r="H37" s="9" t="str">
        <f>INDEX(학술지정보!$C$9:$O$50,MATCH($F37,학술지정보!$C$9:$C$50,0),2)</f>
        <v>SCI(E)</v>
      </c>
      <c r="I37" s="96">
        <f>IF(H37="SCOPUS","N.A.",INDEX(학술지정보!$C$9:$O$50,MATCH($F37,학술지정보!$C$9:$C$50,0),12))</f>
        <v>1.9105011933174225</v>
      </c>
      <c r="J37" s="9">
        <f>IF(H37="SCOPUS","N.A.",INDEX(학술지정보!$C$9:$O$50,MATCH($F37,학술지정보!$C$9:$C$50,0),13))</f>
        <v>7.1199999999999996E-3</v>
      </c>
      <c r="K37" s="9" t="str">
        <f>IF(H37="SCOPUS","N.A.",INDEX(학술지정보!$C$9:$O$50,MATCH($F37,학술지정보!$C$9:$C$50,0),11))</f>
        <v>Q2</v>
      </c>
    </row>
    <row r="38" spans="1:11" ht="17.399999999999999">
      <c r="A38" s="5"/>
      <c r="B38" s="6">
        <f t="shared" si="0"/>
        <v>33</v>
      </c>
      <c r="C38" s="7">
        <v>2018</v>
      </c>
      <c r="D38" s="7">
        <v>1</v>
      </c>
      <c r="E38" s="10" t="s">
        <v>410</v>
      </c>
      <c r="F38" s="7" t="s">
        <v>411</v>
      </c>
      <c r="G38" s="7" t="s">
        <v>544</v>
      </c>
      <c r="H38" s="9" t="str">
        <f>INDEX(학술지정보!$C$9:$O$50,MATCH($F38,학술지정보!$C$9:$C$50,0),2)</f>
        <v>SCI(E)</v>
      </c>
      <c r="I38" s="96">
        <f>IF(H38="SCOPUS","N.A.",INDEX(학술지정보!$C$9:$O$50,MATCH($F38,학술지정보!$C$9:$C$50,0),12))</f>
        <v>3.897129186602871</v>
      </c>
      <c r="J38" s="9">
        <f>IF(H38="SCOPUS","N.A.",INDEX(학술지정보!$C$9:$O$50,MATCH($F38,학술지정보!$C$9:$C$50,0),13))</f>
        <v>8.3400000000000002E-3</v>
      </c>
      <c r="K38" s="9" t="str">
        <f>IF(H38="SCOPUS","N.A.",INDEX(학술지정보!$C$9:$O$50,MATCH($F38,학술지정보!$C$9:$C$50,0),11))</f>
        <v>Q1</v>
      </c>
    </row>
    <row r="39" spans="1:11" ht="17.399999999999999">
      <c r="A39" s="5"/>
      <c r="B39" s="6">
        <f t="shared" si="0"/>
        <v>34</v>
      </c>
      <c r="C39" s="7">
        <v>2018</v>
      </c>
      <c r="D39" s="7">
        <v>2</v>
      </c>
      <c r="E39" s="10" t="s">
        <v>445</v>
      </c>
      <c r="F39" s="7" t="s">
        <v>32</v>
      </c>
      <c r="G39" s="7" t="s">
        <v>544</v>
      </c>
      <c r="H39" s="9" t="str">
        <f>INDEX(학술지정보!$C$9:$O$50,MATCH($F39,학술지정보!$C$9:$C$50,0),2)</f>
        <v>SCI(E)</v>
      </c>
      <c r="I39" s="96">
        <f>IF(H39="SCOPUS","N.A.",INDEX(학술지정보!$C$9:$O$50,MATCH($F39,학술지정보!$C$9:$C$50,0),12))</f>
        <v>1.9105011933174225</v>
      </c>
      <c r="J39" s="9">
        <f>IF(H39="SCOPUS","N.A.",INDEX(학술지정보!$C$9:$O$50,MATCH($F39,학술지정보!$C$9:$C$50,0),13))</f>
        <v>7.1199999999999996E-3</v>
      </c>
      <c r="K39" s="9" t="str">
        <f>IF(H39="SCOPUS","N.A.",INDEX(학술지정보!$C$9:$O$50,MATCH($F39,학술지정보!$C$9:$C$50,0),11))</f>
        <v>Q2</v>
      </c>
    </row>
    <row r="40" spans="1:11" ht="17.399999999999999">
      <c r="A40" s="5"/>
      <c r="B40" s="6">
        <f t="shared" si="0"/>
        <v>35</v>
      </c>
      <c r="C40" s="7">
        <v>2019</v>
      </c>
      <c r="D40" s="7">
        <v>1</v>
      </c>
      <c r="E40" s="10" t="s">
        <v>412</v>
      </c>
      <c r="F40" s="7" t="s">
        <v>413</v>
      </c>
      <c r="G40" s="7" t="s">
        <v>544</v>
      </c>
      <c r="H40" s="9" t="str">
        <f>INDEX(학술지정보!$C$9:$O$50,MATCH($F40,학술지정보!$C$9:$C$50,0),2)</f>
        <v>SCI(E)</v>
      </c>
      <c r="I40" s="96">
        <f>IF(H40="SCOPUS","N.A.",INDEX(학술지정보!$C$9:$O$50,MATCH($F40,학술지정보!$C$9:$C$50,0),12))</f>
        <v>1.4974039460020769</v>
      </c>
      <c r="J40" s="9">
        <f>IF(H40="SCOPUS","N.A.",INDEX(학술지정보!$C$9:$O$50,MATCH($F40,학술지정보!$C$9:$C$50,0),13))</f>
        <v>1.133E-2</v>
      </c>
      <c r="K40" s="9" t="str">
        <f>IF(H40="SCOPUS","N.A.",INDEX(학술지정보!$C$9:$O$50,MATCH($F40,학술지정보!$C$9:$C$50,0),11))</f>
        <v>Q3</v>
      </c>
    </row>
    <row r="41" spans="1:11" ht="17.399999999999999">
      <c r="A41" s="5"/>
      <c r="B41" s="6">
        <f t="shared" si="0"/>
        <v>36</v>
      </c>
      <c r="C41" s="7">
        <v>2019</v>
      </c>
      <c r="D41" s="7">
        <v>2</v>
      </c>
      <c r="E41" s="10" t="s">
        <v>414</v>
      </c>
      <c r="F41" s="7" t="s">
        <v>406</v>
      </c>
      <c r="G41" s="7"/>
      <c r="H41" s="9" t="str">
        <f>INDEX(학술지정보!$C$9:$O$50,MATCH($F41,학술지정보!$C$9:$C$50,0),2)</f>
        <v>SCI(E)</v>
      </c>
      <c r="I41" s="96">
        <f>IF(H41="SCOPUS","N.A.",INDEX(학술지정보!$C$9:$O$50,MATCH($F41,학술지정보!$C$9:$C$50,0),12))</f>
        <v>6.6583011583011587</v>
      </c>
      <c r="J41" s="9">
        <f>IF(H41="SCOPUS","N.A.",INDEX(학술지정보!$C$9:$O$50,MATCH($F41,학술지정보!$C$9:$C$50,0),13))</f>
        <v>2.2210000000000001E-2</v>
      </c>
      <c r="K41" s="9" t="str">
        <f>IF(H41="SCOPUS","N.A.",INDEX(학술지정보!$C$9:$O$50,MATCH($F41,학술지정보!$C$9:$C$50,0),11))</f>
        <v>Q1</v>
      </c>
    </row>
    <row r="42" spans="1:11" ht="17.399999999999999">
      <c r="A42" s="5"/>
      <c r="B42" s="6">
        <f t="shared" si="0"/>
        <v>37</v>
      </c>
      <c r="C42" s="7">
        <v>2019</v>
      </c>
      <c r="D42" s="7">
        <v>3</v>
      </c>
      <c r="E42" s="10" t="s">
        <v>415</v>
      </c>
      <c r="F42" s="7" t="s">
        <v>16</v>
      </c>
      <c r="G42" s="7" t="s">
        <v>544</v>
      </c>
      <c r="H42" s="9" t="str">
        <f>INDEX(학술지정보!$C$9:$O$50,MATCH($F42,학술지정보!$C$9:$C$50,0),2)</f>
        <v>SCI(E)</v>
      </c>
      <c r="I42" s="96">
        <f>IF(H42="SCOPUS","N.A.",INDEX(학술지정보!$C$9:$O$50,MATCH($F42,학술지정보!$C$9:$C$50,0),12))</f>
        <v>2.4518838589831602</v>
      </c>
      <c r="J42" s="9">
        <f>IF(H42="SCOPUS","N.A.",INDEX(학술지정보!$C$9:$O$50,MATCH($F42,학술지정보!$C$9:$C$50,0),13))</f>
        <v>0.11103</v>
      </c>
      <c r="K42" s="9" t="str">
        <f>IF(H42="SCOPUS","N.A.",INDEX(학술지정보!$C$9:$O$50,MATCH($F42,학술지정보!$C$9:$C$50,0),11))</f>
        <v>Q1</v>
      </c>
    </row>
    <row r="43" spans="1:11" ht="17.399999999999999">
      <c r="A43" s="5"/>
      <c r="B43" s="6">
        <f t="shared" si="0"/>
        <v>38</v>
      </c>
      <c r="C43" s="7">
        <v>2019</v>
      </c>
      <c r="D43" s="7">
        <v>4</v>
      </c>
      <c r="E43" s="10" t="s">
        <v>416</v>
      </c>
      <c r="F43" s="7" t="s">
        <v>395</v>
      </c>
      <c r="G43" s="7"/>
      <c r="H43" s="9" t="str">
        <f>INDEX(학술지정보!$C$9:$O$50,MATCH($F43,학술지정보!$C$9:$C$50,0),2)</f>
        <v>SCI(E)</v>
      </c>
      <c r="I43" s="96">
        <f>IF(H43="SCOPUS","N.A.",INDEX(학술지정보!$C$9:$O$50,MATCH($F43,학술지정보!$C$9:$C$50,0),12))</f>
        <v>4.1788018433179728</v>
      </c>
      <c r="J43" s="9">
        <f>IF(H43="SCOPUS","N.A.",INDEX(학술지정보!$C$9:$O$50,MATCH($F43,학술지정보!$C$9:$C$50,0),13))</f>
        <v>1.7729999999999999E-2</v>
      </c>
      <c r="K43" s="9" t="str">
        <f>IF(H43="SCOPUS","N.A.",INDEX(학술지정보!$C$9:$O$50,MATCH($F43,학술지정보!$C$9:$C$50,0),11))</f>
        <v>Q1</v>
      </c>
    </row>
    <row r="44" spans="1:11" ht="17.399999999999999">
      <c r="A44" s="5"/>
      <c r="B44" s="6">
        <f t="shared" si="0"/>
        <v>39</v>
      </c>
      <c r="C44" s="7">
        <v>2019</v>
      </c>
      <c r="D44" s="7">
        <v>5</v>
      </c>
      <c r="E44" s="10" t="s">
        <v>417</v>
      </c>
      <c r="F44" s="7" t="s">
        <v>16</v>
      </c>
      <c r="G44" s="7" t="s">
        <v>544</v>
      </c>
      <c r="H44" s="9" t="str">
        <f>INDEX(학술지정보!$C$9:$O$50,MATCH($F44,학술지정보!$C$9:$C$50,0),2)</f>
        <v>SCI(E)</v>
      </c>
      <c r="I44" s="96">
        <f>IF(H44="SCOPUS","N.A.",INDEX(학술지정보!$C$9:$O$50,MATCH($F44,학술지정보!$C$9:$C$50,0),12))</f>
        <v>2.4518838589831602</v>
      </c>
      <c r="J44" s="9">
        <f>IF(H44="SCOPUS","N.A.",INDEX(학술지정보!$C$9:$O$50,MATCH($F44,학술지정보!$C$9:$C$50,0),13))</f>
        <v>0.11103</v>
      </c>
      <c r="K44" s="9" t="str">
        <f>IF(H44="SCOPUS","N.A.",INDEX(학술지정보!$C$9:$O$50,MATCH($F44,학술지정보!$C$9:$C$50,0),11))</f>
        <v>Q1</v>
      </c>
    </row>
    <row r="45" spans="1:11" ht="17.399999999999999">
      <c r="A45" s="5"/>
      <c r="B45" s="6">
        <f t="shared" si="0"/>
        <v>40</v>
      </c>
      <c r="C45" s="7">
        <v>2020</v>
      </c>
      <c r="D45" s="7">
        <v>1</v>
      </c>
      <c r="E45" s="10" t="s">
        <v>17</v>
      </c>
      <c r="F45" s="7" t="s">
        <v>18</v>
      </c>
      <c r="G45" s="7" t="s">
        <v>12</v>
      </c>
      <c r="H45" s="9" t="str">
        <f>INDEX(학술지정보!$C$9:$O$50,MATCH($F45,학술지정보!$C$9:$C$50,0),2)</f>
        <v>SCI(E)</v>
      </c>
      <c r="I45" s="96">
        <f>IF(H45="SCOPUS","N.A.",INDEX(학술지정보!$C$9:$O$50,MATCH($F45,학술지정보!$C$9:$C$50,0),12))</f>
        <v>1.4974039460020769</v>
      </c>
      <c r="J45" s="9">
        <f>IF(H45="SCOPUS","N.A.",INDEX(학술지정보!$C$9:$O$50,MATCH($F45,학술지정보!$C$9:$C$50,0),13))</f>
        <v>1.133E-2</v>
      </c>
      <c r="K45" s="9" t="str">
        <f>IF(H45="SCOPUS","N.A.",INDEX(학술지정보!$C$9:$O$50,MATCH($F45,학술지정보!$C$9:$C$50,0),11))</f>
        <v>Q3</v>
      </c>
    </row>
    <row r="46" spans="1:11" ht="17.399999999999999">
      <c r="A46" s="5"/>
      <c r="B46" s="6">
        <f t="shared" si="0"/>
        <v>41</v>
      </c>
      <c r="C46" s="7">
        <v>2020</v>
      </c>
      <c r="D46" s="7">
        <v>2</v>
      </c>
      <c r="E46" s="10" t="s">
        <v>19</v>
      </c>
      <c r="F46" s="7" t="s">
        <v>20</v>
      </c>
      <c r="G46" s="7" t="s">
        <v>12</v>
      </c>
      <c r="H46" s="9" t="str">
        <f>INDEX(학술지정보!$C$9:$O$50,MATCH($F46,학술지정보!$C$9:$C$50,0),2)</f>
        <v>SCI(E)</v>
      </c>
      <c r="I46" s="96">
        <f>IF(H46="SCOPUS","N.A.",INDEX(학술지정보!$C$9:$O$50,MATCH($F46,학술지정보!$C$9:$C$50,0),12))</f>
        <v>5.5579793340987367</v>
      </c>
      <c r="J46" s="9">
        <f>IF(H46="SCOPUS","N.A.",INDEX(학술지정보!$C$9:$O$50,MATCH($F46,학술지정보!$C$9:$C$50,0),13))</f>
        <v>5.6989999999999999E-2</v>
      </c>
      <c r="K46" s="9" t="str">
        <f>IF(H46="SCOPUS","N.A.",INDEX(학술지정보!$C$9:$O$50,MATCH($F46,학술지정보!$C$9:$C$50,0),11))</f>
        <v>Q1</v>
      </c>
    </row>
    <row r="47" spans="1:11" ht="17.399999999999999">
      <c r="A47" s="5"/>
      <c r="B47" s="6">
        <f t="shared" si="0"/>
        <v>42</v>
      </c>
      <c r="C47" s="7">
        <v>2020</v>
      </c>
      <c r="D47" s="7">
        <v>3</v>
      </c>
      <c r="E47" s="10" t="s">
        <v>396</v>
      </c>
      <c r="F47" s="7" t="s">
        <v>16</v>
      </c>
      <c r="G47" s="7" t="s">
        <v>12</v>
      </c>
      <c r="H47" s="9" t="str">
        <f>INDEX(학술지정보!$C$9:$O$50,MATCH($F47,학술지정보!$C$9:$C$50,0),2)</f>
        <v>SCI(E)</v>
      </c>
      <c r="I47" s="96">
        <f>IF(H47="SCOPUS","N.A.",INDEX(학술지정보!$C$9:$O$50,MATCH($F47,학술지정보!$C$9:$C$50,0),12))</f>
        <v>2.4518838589831602</v>
      </c>
      <c r="J47" s="9">
        <f>IF(H47="SCOPUS","N.A.",INDEX(학술지정보!$C$9:$O$50,MATCH($F47,학술지정보!$C$9:$C$50,0),13))</f>
        <v>0.11103</v>
      </c>
      <c r="K47" s="9" t="str">
        <f>IF(H47="SCOPUS","N.A.",INDEX(학술지정보!$C$9:$O$50,MATCH($F47,학술지정보!$C$9:$C$50,0),11))</f>
        <v>Q1</v>
      </c>
    </row>
    <row r="48" spans="1:11" ht="17.399999999999999">
      <c r="A48" s="5"/>
      <c r="B48" s="6">
        <f t="shared" si="0"/>
        <v>43</v>
      </c>
      <c r="C48" s="7">
        <v>2020</v>
      </c>
      <c r="D48" s="7">
        <v>4</v>
      </c>
      <c r="E48" s="10" t="s">
        <v>21</v>
      </c>
      <c r="F48" s="7" t="s">
        <v>13</v>
      </c>
      <c r="G48" s="7" t="s">
        <v>12</v>
      </c>
      <c r="H48" s="9" t="str">
        <f>INDEX(학술지정보!$C$9:$O$50,MATCH($F48,학술지정보!$C$9:$C$50,0),2)</f>
        <v>SCI(E)</v>
      </c>
      <c r="I48" s="96">
        <f>IF(H48="SCOPUS","N.A.",INDEX(학술지정보!$C$9:$O$50,MATCH($F48,학술지정보!$C$9:$C$50,0),12))</f>
        <v>1.9105011933174225</v>
      </c>
      <c r="J48" s="9">
        <f>IF(H48="SCOPUS","N.A.",INDEX(학술지정보!$C$9:$O$50,MATCH($F48,학술지정보!$C$9:$C$50,0),13))</f>
        <v>7.1199999999999996E-3</v>
      </c>
      <c r="K48" s="9" t="str">
        <f>IF(H48="SCOPUS","N.A.",INDEX(학술지정보!$C$9:$O$50,MATCH($F48,학술지정보!$C$9:$C$50,0),11))</f>
        <v>Q2</v>
      </c>
    </row>
    <row r="49" spans="1:11" ht="17.399999999999999">
      <c r="A49" s="5"/>
      <c r="B49" s="6">
        <f t="shared" si="0"/>
        <v>44</v>
      </c>
      <c r="C49" s="7">
        <v>2020</v>
      </c>
      <c r="D49" s="7">
        <v>5</v>
      </c>
      <c r="E49" s="10" t="s">
        <v>22</v>
      </c>
      <c r="F49" s="7" t="s">
        <v>15</v>
      </c>
      <c r="G49" s="7" t="s">
        <v>12</v>
      </c>
      <c r="H49" s="9" t="str">
        <f>INDEX(학술지정보!$C$9:$O$50,MATCH($F49,학술지정보!$C$9:$C$50,0),2)</f>
        <v>SCI(E)</v>
      </c>
      <c r="I49" s="96">
        <f>IF(H49="SCOPUS","N.A.",INDEX(학술지정보!$C$9:$O$50,MATCH($F49,학술지정보!$C$9:$C$50,0),12))</f>
        <v>1.4974039460020769</v>
      </c>
      <c r="J49" s="9">
        <f>IF(H49="SCOPUS","N.A.",INDEX(학술지정보!$C$9:$O$50,MATCH($F49,학술지정보!$C$9:$C$50,0),13))</f>
        <v>1.133E-2</v>
      </c>
      <c r="K49" s="9" t="str">
        <f>IF(H49="SCOPUS","N.A.",INDEX(학술지정보!$C$9:$O$50,MATCH($F49,학술지정보!$C$9:$C$50,0),11))</f>
        <v>Q3</v>
      </c>
    </row>
    <row r="50" spans="1:11" ht="17.399999999999999">
      <c r="A50" s="5"/>
      <c r="B50" s="6">
        <f t="shared" si="0"/>
        <v>45</v>
      </c>
      <c r="C50" s="7">
        <v>2020</v>
      </c>
      <c r="D50" s="7">
        <v>6</v>
      </c>
      <c r="E50" s="101" t="s">
        <v>559</v>
      </c>
      <c r="F50" s="7" t="s">
        <v>61</v>
      </c>
      <c r="G50" s="7" t="s">
        <v>560</v>
      </c>
      <c r="H50" s="9" t="str">
        <f>INDEX(학술지정보!$C$9:$O$50,MATCH($F50,학술지정보!$C$9:$C$50,0),2)</f>
        <v>SCI(E)</v>
      </c>
      <c r="I50" s="96">
        <f>IF(H50="SCOPUS","N.A.",INDEX(학술지정보!$C$9:$O$50,MATCH($F50,학술지정보!$C$9:$C$50,0),12))</f>
        <v>2.4518838589831602</v>
      </c>
      <c r="J50" s="9">
        <f>IF(H50="SCOPUS","N.A.",INDEX(학술지정보!$C$9:$O$50,MATCH($F50,학술지정보!$C$9:$C$50,0),13))</f>
        <v>0.11103</v>
      </c>
      <c r="K50" s="9" t="str">
        <f>IF(H50="SCOPUS","N.A.",INDEX(학술지정보!$C$9:$O$50,MATCH($F50,학술지정보!$C$9:$C$50,0),11))</f>
        <v>Q1</v>
      </c>
    </row>
    <row r="51" spans="1:11" ht="17.399999999999999">
      <c r="A51" s="5"/>
      <c r="B51" s="6">
        <f t="shared" si="0"/>
        <v>46</v>
      </c>
      <c r="C51" s="7">
        <v>2020</v>
      </c>
      <c r="D51" s="7">
        <v>7</v>
      </c>
      <c r="E51" s="10" t="s">
        <v>443</v>
      </c>
      <c r="F51" s="7" t="s">
        <v>444</v>
      </c>
      <c r="G51" s="7" t="s">
        <v>12</v>
      </c>
      <c r="H51" s="9" t="str">
        <f>INDEX(학술지정보!$C$9:$O$50,MATCH($F51,학술지정보!$C$9:$C$50,0),2)</f>
        <v>SCI(E)</v>
      </c>
      <c r="I51" s="96">
        <f>IF(H51="SCOPUS","N.A.",INDEX(학술지정보!$C$9:$O$50,MATCH($F51,학술지정보!$C$9:$C$50,0),12))</f>
        <v>2.4641025641025642</v>
      </c>
      <c r="J51" s="9">
        <f>IF(H51="SCOPUS","N.A.",INDEX(학술지정보!$C$9:$O$50,MATCH($F51,학술지정보!$C$9:$C$50,0),13))</f>
        <v>2.7699999999999999E-3</v>
      </c>
      <c r="K51" s="9" t="str">
        <f>IF(H51="SCOPUS","N.A.",INDEX(학술지정보!$C$9:$O$50,MATCH($F51,학술지정보!$C$9:$C$50,0),11))</f>
        <v>Q2</v>
      </c>
    </row>
    <row r="52" spans="1:11" ht="17.399999999999999">
      <c r="A52" s="5"/>
      <c r="B52" s="6">
        <f t="shared" si="0"/>
        <v>47</v>
      </c>
      <c r="C52" s="7">
        <v>2021</v>
      </c>
      <c r="D52" s="7">
        <v>1</v>
      </c>
      <c r="E52" s="10" t="s">
        <v>23</v>
      </c>
      <c r="F52" s="7" t="s">
        <v>16</v>
      </c>
      <c r="G52" s="7" t="s">
        <v>12</v>
      </c>
      <c r="H52" s="9" t="str">
        <f>INDEX(학술지정보!$C$9:$O$50,MATCH($F52,학술지정보!$C$9:$C$50,0),2)</f>
        <v>SCI(E)</v>
      </c>
      <c r="I52" s="96">
        <f>IF(H52="SCOPUS","N.A.",INDEX(학술지정보!$C$9:$O$50,MATCH($F52,학술지정보!$C$9:$C$50,0),12))</f>
        <v>2.4518838589831602</v>
      </c>
      <c r="J52" s="9">
        <f>IF(H52="SCOPUS","N.A.",INDEX(학술지정보!$C$9:$O$50,MATCH($F52,학술지정보!$C$9:$C$50,0),13))</f>
        <v>0.11103</v>
      </c>
      <c r="K52" s="9" t="str">
        <f>IF(H52="SCOPUS","N.A.",INDEX(학술지정보!$C$9:$O$50,MATCH($F52,학술지정보!$C$9:$C$50,0),11))</f>
        <v>Q1</v>
      </c>
    </row>
    <row r="53" spans="1:11" ht="17.399999999999999">
      <c r="A53" s="5"/>
      <c r="B53" s="6">
        <f t="shared" si="0"/>
        <v>48</v>
      </c>
      <c r="C53" s="7">
        <v>2021</v>
      </c>
      <c r="D53" s="7">
        <v>2</v>
      </c>
      <c r="E53" s="10" t="s">
        <v>24</v>
      </c>
      <c r="F53" s="7" t="s">
        <v>14</v>
      </c>
      <c r="G53" s="7" t="s">
        <v>12</v>
      </c>
      <c r="H53" s="9" t="str">
        <f>INDEX(학술지정보!$C$9:$O$50,MATCH($F53,학술지정보!$C$9:$C$50,0),2)</f>
        <v>SCI(E)</v>
      </c>
      <c r="I53" s="96">
        <f>IF(H53="SCOPUS","N.A.",INDEX(학술지정보!$C$9:$O$50,MATCH($F53,학술지정보!$C$9:$C$50,0),12))</f>
        <v>2.6493506493506493</v>
      </c>
      <c r="J53" s="9">
        <f>IF(H53="SCOPUS","N.A.",INDEX(학술지정보!$C$9:$O$50,MATCH($F53,학술지정보!$C$9:$C$50,0),13))</f>
        <v>8.4499999999999992E-3</v>
      </c>
      <c r="K53" s="9" t="str">
        <f>IF(H53="SCOPUS","N.A.",INDEX(학술지정보!$C$9:$O$50,MATCH($F53,학술지정보!$C$9:$C$50,0),11))</f>
        <v>Q2</v>
      </c>
    </row>
    <row r="54" spans="1:11" ht="17.399999999999999">
      <c r="A54" s="5"/>
      <c r="B54" s="6">
        <f t="shared" si="0"/>
        <v>49</v>
      </c>
      <c r="C54" s="7">
        <v>2021</v>
      </c>
      <c r="D54" s="7">
        <v>3</v>
      </c>
      <c r="E54" s="10" t="s">
        <v>25</v>
      </c>
      <c r="F54" s="7" t="s">
        <v>16</v>
      </c>
      <c r="G54" s="7" t="s">
        <v>12</v>
      </c>
      <c r="H54" s="9" t="str">
        <f>INDEX(학술지정보!$C$9:$O$50,MATCH($F54,학술지정보!$C$9:$C$50,0),2)</f>
        <v>SCI(E)</v>
      </c>
      <c r="I54" s="96">
        <f>IF(H54="SCOPUS","N.A.",INDEX(학술지정보!$C$9:$O$50,MATCH($F54,학술지정보!$C$9:$C$50,0),12))</f>
        <v>2.4518838589831602</v>
      </c>
      <c r="J54" s="9">
        <f>IF(H54="SCOPUS","N.A.",INDEX(학술지정보!$C$9:$O$50,MATCH($F54,학술지정보!$C$9:$C$50,0),13))</f>
        <v>0.11103</v>
      </c>
      <c r="K54" s="9" t="str">
        <f>IF(H54="SCOPUS","N.A.",INDEX(학술지정보!$C$9:$O$50,MATCH($F54,학술지정보!$C$9:$C$50,0),11))</f>
        <v>Q1</v>
      </c>
    </row>
    <row r="55" spans="1:11" ht="17.399999999999999">
      <c r="A55" s="5"/>
      <c r="B55" s="6">
        <f t="shared" si="0"/>
        <v>50</v>
      </c>
      <c r="C55" s="7">
        <v>2021</v>
      </c>
      <c r="D55" s="7">
        <v>4</v>
      </c>
      <c r="E55" s="10" t="s">
        <v>26</v>
      </c>
      <c r="F55" s="7" t="s">
        <v>27</v>
      </c>
      <c r="G55" s="7" t="s">
        <v>28</v>
      </c>
      <c r="H55" s="9" t="str">
        <f>INDEX(학술지정보!$C$9:$O$50,MATCH($F55,학술지정보!$C$9:$C$50,0),2)</f>
        <v>SCI(E)</v>
      </c>
      <c r="I55" s="96">
        <f>IF(H55="SCOPUS","N.A.",INDEX(학술지정보!$C$9:$O$50,MATCH($F55,학술지정보!$C$9:$C$50,0),12))</f>
        <v>3.1416666666666666</v>
      </c>
      <c r="J55" s="9">
        <f>IF(H55="SCOPUS","N.A.",INDEX(학술지정보!$C$9:$O$50,MATCH($F55,학술지정보!$C$9:$C$50,0),13))</f>
        <v>3.8899999999999998E-3</v>
      </c>
      <c r="K55" s="9" t="str">
        <f>IF(H55="SCOPUS","N.A.",INDEX(학술지정보!$C$9:$O$50,MATCH($F55,학술지정보!$C$9:$C$50,0),11))</f>
        <v>Q2</v>
      </c>
    </row>
    <row r="56" spans="1:11" ht="34.799999999999997">
      <c r="A56" s="5"/>
      <c r="B56" s="6">
        <f t="shared" si="0"/>
        <v>51</v>
      </c>
      <c r="C56" s="7">
        <v>2021</v>
      </c>
      <c r="D56" s="7">
        <v>5</v>
      </c>
      <c r="E56" s="10" t="s">
        <v>29</v>
      </c>
      <c r="F56" s="7" t="s">
        <v>30</v>
      </c>
      <c r="G56" s="7" t="s">
        <v>28</v>
      </c>
      <c r="H56" s="9" t="str">
        <f>INDEX(학술지정보!$C$9:$O$50,MATCH($F56,학술지정보!$C$9:$C$50,0),2)</f>
        <v>SCI(E)</v>
      </c>
      <c r="I56" s="96">
        <f>IF(H56="SCOPUS","N.A.",INDEX(학술지정보!$C$9:$O$50,MATCH($F56,학술지정보!$C$9:$C$50,0),12))</f>
        <v>4.1788018433179728</v>
      </c>
      <c r="J56" s="9">
        <f>IF(H56="SCOPUS","N.A.",INDEX(학술지정보!$C$9:$O$50,MATCH($F56,학술지정보!$C$9:$C$50,0),13))</f>
        <v>1.7729999999999999E-2</v>
      </c>
      <c r="K56" s="9" t="str">
        <f>IF(H56="SCOPUS","N.A.",INDEX(학술지정보!$C$9:$O$50,MATCH($F56,학술지정보!$C$9:$C$50,0),11))</f>
        <v>Q1</v>
      </c>
    </row>
    <row r="57" spans="1:11" ht="17.399999999999999">
      <c r="A57" s="5"/>
      <c r="B57" s="6">
        <f t="shared" si="0"/>
        <v>52</v>
      </c>
      <c r="C57" s="7">
        <v>2021</v>
      </c>
      <c r="D57" s="7">
        <v>6</v>
      </c>
      <c r="E57" s="10" t="s">
        <v>31</v>
      </c>
      <c r="F57" s="7" t="s">
        <v>32</v>
      </c>
      <c r="G57" s="7"/>
      <c r="H57" s="9" t="str">
        <f>INDEX(학술지정보!$C$9:$O$50,MATCH($F57,학술지정보!$C$9:$C$50,0),2)</f>
        <v>SCI(E)</v>
      </c>
      <c r="I57" s="96">
        <f>IF(H57="SCOPUS","N.A.",INDEX(학술지정보!$C$9:$O$50,MATCH($F57,학술지정보!$C$9:$C$50,0),12))</f>
        <v>1.9105011933174225</v>
      </c>
      <c r="J57" s="9">
        <f>IF(H57="SCOPUS","N.A.",INDEX(학술지정보!$C$9:$O$50,MATCH($F57,학술지정보!$C$9:$C$50,0),13))</f>
        <v>7.1199999999999996E-3</v>
      </c>
      <c r="K57" s="9" t="str">
        <f>IF(H57="SCOPUS","N.A.",INDEX(학술지정보!$C$9:$O$50,MATCH($F57,학술지정보!$C$9:$C$50,0),11))</f>
        <v>Q2</v>
      </c>
    </row>
    <row r="58" spans="1:11" ht="17.399999999999999">
      <c r="A58" s="5"/>
      <c r="B58" s="6">
        <f t="shared" si="0"/>
        <v>53</v>
      </c>
      <c r="C58" s="7">
        <v>2022</v>
      </c>
      <c r="D58" s="7">
        <v>1</v>
      </c>
      <c r="E58" s="10" t="s">
        <v>33</v>
      </c>
      <c r="F58" s="7" t="s">
        <v>34</v>
      </c>
      <c r="G58" s="7" t="s">
        <v>28</v>
      </c>
      <c r="H58" s="9" t="str">
        <f>INDEX(학술지정보!$C$9:$O$50,MATCH($F58,학술지정보!$C$9:$C$50,0),2)</f>
        <v>SCI(E)</v>
      </c>
      <c r="I58" s="96">
        <f>IF(H58="SCOPUS","N.A.",INDEX(학술지정보!$C$9:$O$50,MATCH($F58,학술지정보!$C$9:$C$50,0),12))</f>
        <v>2.4641025641025642</v>
      </c>
      <c r="J58" s="9">
        <f>IF(H58="SCOPUS","N.A.",INDEX(학술지정보!$C$9:$O$50,MATCH($F58,학술지정보!$C$9:$C$50,0),13))</f>
        <v>2.7699999999999999E-3</v>
      </c>
      <c r="K58" s="9" t="str">
        <f>IF(H58="SCOPUS","N.A.",INDEX(학술지정보!$C$9:$O$50,MATCH($F58,학술지정보!$C$9:$C$50,0),11))</f>
        <v>Q2</v>
      </c>
    </row>
    <row r="59" spans="1:11" ht="17.399999999999999">
      <c r="A59" s="5"/>
      <c r="B59" s="6">
        <f t="shared" si="0"/>
        <v>54</v>
      </c>
      <c r="C59" s="7">
        <v>2022</v>
      </c>
      <c r="D59" s="7">
        <v>2</v>
      </c>
      <c r="E59" s="10" t="s">
        <v>563</v>
      </c>
      <c r="F59" s="7" t="s">
        <v>13</v>
      </c>
      <c r="G59" s="7"/>
      <c r="H59" s="9" t="str">
        <f>INDEX(학술지정보!$C$9:$O$50,MATCH($F59,학술지정보!$C$9:$C$50,0),2)</f>
        <v>SCI(E)</v>
      </c>
      <c r="I59" s="96">
        <f>IF(H59="SCOPUS","N.A.",INDEX(학술지정보!$C$9:$O$50,MATCH($F59,학술지정보!$C$9:$C$50,0),12))</f>
        <v>1.9105011933174225</v>
      </c>
      <c r="J59" s="9">
        <f>IF(H59="SCOPUS","N.A.",INDEX(학술지정보!$C$9:$O$50,MATCH($F59,학술지정보!$C$9:$C$50,0),13))</f>
        <v>7.1199999999999996E-3</v>
      </c>
      <c r="K59" s="9" t="str">
        <f>IF(H59="SCOPUS","N.A.",INDEX(학술지정보!$C$9:$O$50,MATCH($F59,학술지정보!$C$9:$C$50,0),11))</f>
        <v>Q2</v>
      </c>
    </row>
    <row r="60" spans="1:11" ht="17.399999999999999">
      <c r="A60" s="5"/>
      <c r="B60" s="6">
        <f t="shared" si="0"/>
        <v>55</v>
      </c>
      <c r="C60" s="7">
        <v>2022</v>
      </c>
      <c r="D60" s="7">
        <v>3</v>
      </c>
      <c r="E60" s="10" t="s">
        <v>35</v>
      </c>
      <c r="F60" s="7" t="s">
        <v>36</v>
      </c>
      <c r="G60" s="7"/>
      <c r="H60" s="9" t="str">
        <f>INDEX(학술지정보!$C$9:$O$50,MATCH($F60,학술지정보!$C$9:$C$50,0),2)</f>
        <v>SCI(E)</v>
      </c>
      <c r="I60" s="96">
        <f>IF(H60="SCOPUS","N.A.",INDEX(학술지정보!$C$9:$O$50,MATCH($F60,학술지정보!$C$9:$C$50,0),12))</f>
        <v>4.2625698324022343</v>
      </c>
      <c r="J60" s="9">
        <f>IF(H60="SCOPUS","N.A.",INDEX(학술지정보!$C$9:$O$50,MATCH($F60,학술지정보!$C$9:$C$50,0),13))</f>
        <v>6.0099999999999997E-3</v>
      </c>
      <c r="K60" s="9" t="str">
        <f>IF(H60="SCOPUS","N.A.",INDEX(학술지정보!$C$9:$O$50,MATCH($F60,학술지정보!$C$9:$C$50,0),11))</f>
        <v>Q1</v>
      </c>
    </row>
    <row r="61" spans="1:11" ht="17.399999999999999">
      <c r="A61" s="5"/>
      <c r="B61" s="6">
        <f t="shared" si="0"/>
        <v>56</v>
      </c>
      <c r="C61" s="7">
        <v>2022</v>
      </c>
      <c r="D61" s="7">
        <v>4</v>
      </c>
      <c r="E61" s="10" t="s">
        <v>38</v>
      </c>
      <c r="F61" s="7" t="s">
        <v>34</v>
      </c>
      <c r="G61" s="7" t="s">
        <v>28</v>
      </c>
      <c r="H61" s="9" t="str">
        <f>INDEX(학술지정보!$C$9:$O$50,MATCH($F61,학술지정보!$C$9:$C$50,0),2)</f>
        <v>SCI(E)</v>
      </c>
      <c r="I61" s="96">
        <f>IF(H61="SCOPUS","N.A.",INDEX(학술지정보!$C$9:$O$50,MATCH($F61,학술지정보!$C$9:$C$50,0),12))</f>
        <v>2.4641025641025642</v>
      </c>
      <c r="J61" s="9">
        <f>IF(H61="SCOPUS","N.A.",INDEX(학술지정보!$C$9:$O$50,MATCH($F61,학술지정보!$C$9:$C$50,0),13))</f>
        <v>2.7699999999999999E-3</v>
      </c>
      <c r="K61" s="9" t="str">
        <f>IF(H61="SCOPUS","N.A.",INDEX(학술지정보!$C$9:$O$50,MATCH($F61,학술지정보!$C$9:$C$50,0),11))</f>
        <v>Q2</v>
      </c>
    </row>
    <row r="62" spans="1:11" ht="17.399999999999999">
      <c r="A62" s="5"/>
      <c r="B62" s="6">
        <f t="shared" si="0"/>
        <v>57</v>
      </c>
      <c r="C62" s="7">
        <v>2022</v>
      </c>
      <c r="D62" s="7">
        <v>5</v>
      </c>
      <c r="E62" s="10" t="s">
        <v>39</v>
      </c>
      <c r="F62" s="7" t="s">
        <v>16</v>
      </c>
      <c r="G62" s="7" t="s">
        <v>28</v>
      </c>
      <c r="H62" s="9" t="str">
        <f>INDEX(학술지정보!$C$9:$O$50,MATCH($F62,학술지정보!$C$9:$C$50,0),2)</f>
        <v>SCI(E)</v>
      </c>
      <c r="I62" s="96">
        <f>IF(H62="SCOPUS","N.A.",INDEX(학술지정보!$C$9:$O$50,MATCH($F62,학술지정보!$C$9:$C$50,0),12))</f>
        <v>2.4518838589831602</v>
      </c>
      <c r="J62" s="9">
        <f>IF(H62="SCOPUS","N.A.",INDEX(학술지정보!$C$9:$O$50,MATCH($F62,학술지정보!$C$9:$C$50,0),13))</f>
        <v>0.11103</v>
      </c>
      <c r="K62" s="9" t="str">
        <f>IF(H62="SCOPUS","N.A.",INDEX(학술지정보!$C$9:$O$50,MATCH($F62,학술지정보!$C$9:$C$50,0),11))</f>
        <v>Q1</v>
      </c>
    </row>
    <row r="63" spans="1:11" ht="17.399999999999999">
      <c r="A63" s="5"/>
      <c r="B63" s="6">
        <f t="shared" si="0"/>
        <v>58</v>
      </c>
      <c r="C63" s="7">
        <v>2022</v>
      </c>
      <c r="D63" s="7">
        <v>6</v>
      </c>
      <c r="E63" s="10" t="s">
        <v>40</v>
      </c>
      <c r="F63" s="7" t="s">
        <v>16</v>
      </c>
      <c r="G63" s="7" t="s">
        <v>28</v>
      </c>
      <c r="H63" s="9" t="str">
        <f>INDEX(학술지정보!$C$9:$O$50,MATCH($F63,학술지정보!$C$9:$C$50,0),2)</f>
        <v>SCI(E)</v>
      </c>
      <c r="I63" s="96">
        <f>IF(H63="SCOPUS","N.A.",INDEX(학술지정보!$C$9:$O$50,MATCH($F63,학술지정보!$C$9:$C$50,0),12))</f>
        <v>2.4518838589831602</v>
      </c>
      <c r="J63" s="9">
        <f>IF(H63="SCOPUS","N.A.",INDEX(학술지정보!$C$9:$O$50,MATCH($F63,학술지정보!$C$9:$C$50,0),13))</f>
        <v>0.11103</v>
      </c>
      <c r="K63" s="9" t="str">
        <f>IF(H63="SCOPUS","N.A.",INDEX(학술지정보!$C$9:$O$50,MATCH($F63,학술지정보!$C$9:$C$50,0),11))</f>
        <v>Q1</v>
      </c>
    </row>
    <row r="64" spans="1:11" ht="17.399999999999999">
      <c r="A64" s="5"/>
      <c r="B64" s="6">
        <f t="shared" si="0"/>
        <v>59</v>
      </c>
      <c r="C64" s="7">
        <v>2022</v>
      </c>
      <c r="D64" s="7">
        <v>7</v>
      </c>
      <c r="E64" s="10" t="s">
        <v>41</v>
      </c>
      <c r="F64" s="7" t="s">
        <v>30</v>
      </c>
      <c r="G64" s="7"/>
      <c r="H64" s="9" t="str">
        <f>INDEX(학술지정보!$C$9:$O$50,MATCH($F64,학술지정보!$C$9:$C$50,0),2)</f>
        <v>SCI(E)</v>
      </c>
      <c r="I64" s="96">
        <f>IF(H64="SCOPUS","N.A.",INDEX(학술지정보!$C$9:$O$50,MATCH($F64,학술지정보!$C$9:$C$50,0),12))</f>
        <v>4.1788018433179728</v>
      </c>
      <c r="J64" s="9">
        <f>IF(H64="SCOPUS","N.A.",INDEX(학술지정보!$C$9:$O$50,MATCH($F64,학술지정보!$C$9:$C$50,0),13))</f>
        <v>1.7729999999999999E-2</v>
      </c>
      <c r="K64" s="9" t="str">
        <f>IF(H64="SCOPUS","N.A.",INDEX(학술지정보!$C$9:$O$50,MATCH($F64,학술지정보!$C$9:$C$50,0),11))</f>
        <v>Q1</v>
      </c>
    </row>
    <row r="65" spans="1:11" ht="17.399999999999999">
      <c r="A65" s="5"/>
      <c r="B65" s="6">
        <f t="shared" si="0"/>
        <v>60</v>
      </c>
      <c r="C65" s="7">
        <v>2022</v>
      </c>
      <c r="D65" s="7">
        <v>8</v>
      </c>
      <c r="E65" s="10" t="s">
        <v>42</v>
      </c>
      <c r="F65" s="7" t="s">
        <v>43</v>
      </c>
      <c r="G65" s="7" t="s">
        <v>28</v>
      </c>
      <c r="H65" s="9" t="str">
        <f>INDEX(학술지정보!$C$9:$O$50,MATCH($F65,학술지정보!$C$9:$C$50,0),2)</f>
        <v>SCI(E)</v>
      </c>
      <c r="I65" s="96">
        <f>IF(H65="SCOPUS","N.A.",INDEX(학술지정보!$C$9:$O$50,MATCH($F65,학술지정보!$C$9:$C$50,0),12))</f>
        <v>4.8956158663883089</v>
      </c>
      <c r="J65" s="9">
        <f>IF(H65="SCOPUS","N.A.",INDEX(학술지정보!$C$9:$O$50,MATCH($F65,학술지정보!$C$9:$C$50,0),13))</f>
        <v>5.6899999999999997E-3</v>
      </c>
      <c r="K65" s="9" t="str">
        <f>IF(H65="SCOPUS","N.A.",INDEX(학술지정보!$C$9:$O$50,MATCH($F65,학술지정보!$C$9:$C$50,0),11))</f>
        <v>Q1</v>
      </c>
    </row>
    <row r="66" spans="1:11" ht="17.399999999999999">
      <c r="A66" s="5"/>
      <c r="B66" s="6">
        <f t="shared" si="0"/>
        <v>61</v>
      </c>
      <c r="C66" s="7">
        <v>2022</v>
      </c>
      <c r="D66" s="7">
        <v>9</v>
      </c>
      <c r="E66" s="10" t="s">
        <v>44</v>
      </c>
      <c r="F66" s="7" t="s">
        <v>45</v>
      </c>
      <c r="G66" s="7" t="s">
        <v>28</v>
      </c>
      <c r="H66" s="9" t="str">
        <f>INDEX(학술지정보!$C$9:$O$50,MATCH($F66,학술지정보!$C$9:$C$50,0),2)</f>
        <v>SCI(E)</v>
      </c>
      <c r="I66" s="96">
        <f>IF(H66="SCOPUS","N.A.",INDEX(학술지정보!$C$9:$O$50,MATCH($F66,학술지정보!$C$9:$C$50,0),12))</f>
        <v>2.5113871635610767</v>
      </c>
      <c r="J66" s="9">
        <f>IF(H66="SCOPUS","N.A.",INDEX(학술지정보!$C$9:$O$50,MATCH($F66,학술지정보!$C$9:$C$50,0),13))</f>
        <v>4.45E-3</v>
      </c>
      <c r="K66" s="9" t="str">
        <f>IF(H66="SCOPUS","N.A.",INDEX(학술지정보!$C$9:$O$50,MATCH($F66,학술지정보!$C$9:$C$50,0),11))</f>
        <v>Q2</v>
      </c>
    </row>
    <row r="67" spans="1:11" ht="17.399999999999999">
      <c r="A67" s="5"/>
      <c r="B67" s="6">
        <f t="shared" si="0"/>
        <v>62</v>
      </c>
      <c r="C67" s="7">
        <v>2023</v>
      </c>
      <c r="D67" s="7">
        <v>1</v>
      </c>
      <c r="E67" s="10" t="s">
        <v>46</v>
      </c>
      <c r="F67" s="7" t="s">
        <v>30</v>
      </c>
      <c r="G67" s="7" t="s">
        <v>28</v>
      </c>
      <c r="H67" s="9" t="str">
        <f>INDEX(학술지정보!$C$9:$O$50,MATCH($F67,학술지정보!$C$9:$C$50,0),2)</f>
        <v>SCI(E)</v>
      </c>
      <c r="I67" s="96">
        <f>IF(H67="SCOPUS","N.A.",INDEX(학술지정보!$C$9:$O$50,MATCH($F67,학술지정보!$C$9:$C$50,0),12))</f>
        <v>4.1788018433179728</v>
      </c>
      <c r="J67" s="9">
        <f>IF(H67="SCOPUS","N.A.",INDEX(학술지정보!$C$9:$O$50,MATCH($F67,학술지정보!$C$9:$C$50,0),13))</f>
        <v>1.7729999999999999E-2</v>
      </c>
      <c r="K67" s="9" t="str">
        <f>IF(H67="SCOPUS","N.A.",INDEX(학술지정보!$C$9:$O$50,MATCH($F67,학술지정보!$C$9:$C$50,0),11))</f>
        <v>Q1</v>
      </c>
    </row>
    <row r="68" spans="1:11" ht="17.399999999999999">
      <c r="A68" s="5"/>
      <c r="B68" s="6">
        <f t="shared" si="0"/>
        <v>63</v>
      </c>
      <c r="C68" s="7">
        <v>2023</v>
      </c>
      <c r="D68" s="7">
        <v>2</v>
      </c>
      <c r="E68" s="10" t="s">
        <v>47</v>
      </c>
      <c r="F68" s="7" t="s">
        <v>48</v>
      </c>
      <c r="G68" s="7" t="s">
        <v>28</v>
      </c>
      <c r="H68" s="9" t="str">
        <f>INDEX(학술지정보!$C$9:$O$50,MATCH($F68,학술지정보!$C$9:$C$50,0),2)</f>
        <v>SCI(E)</v>
      </c>
      <c r="I68" s="96">
        <f>IF(H68="SCOPUS","N.A.",INDEX(학술지정보!$C$9:$O$50,MATCH($F68,학술지정보!$C$9:$C$50,0),12))</f>
        <v>3.8642396662874479</v>
      </c>
      <c r="J68" s="9">
        <f>IF(H68="SCOPUS","N.A.",INDEX(학술지정보!$C$9:$O$50,MATCH($F68,학술지정보!$C$9:$C$50,0),13))</f>
        <v>1.8880000000000001E-2</v>
      </c>
      <c r="K68" s="9" t="str">
        <f>IF(H68="SCOPUS","N.A.",INDEX(학술지정보!$C$9:$O$50,MATCH($F68,학술지정보!$C$9:$C$50,0),11))</f>
        <v>Q1</v>
      </c>
    </row>
    <row r="69" spans="1:11" ht="17.399999999999999">
      <c r="A69" s="5"/>
      <c r="B69" s="6">
        <f t="shared" si="0"/>
        <v>64</v>
      </c>
      <c r="C69" s="7">
        <v>2023</v>
      </c>
      <c r="D69" s="7">
        <v>3</v>
      </c>
      <c r="E69" s="100" t="s">
        <v>49</v>
      </c>
      <c r="F69" s="7" t="s">
        <v>50</v>
      </c>
      <c r="G69" s="7" t="s">
        <v>28</v>
      </c>
      <c r="H69" s="9" t="str">
        <f>INDEX(학술지정보!$C$9:$O$50,MATCH($F69,학술지정보!$C$9:$C$50,0),2)</f>
        <v>SCI(E)</v>
      </c>
      <c r="I69" s="96">
        <f>IF(H69="SCOPUS","N.A.",INDEX(학술지정보!$C$9:$O$50,MATCH($F69,학술지정보!$C$9:$C$50,0),12))</f>
        <v>2.595505617977528</v>
      </c>
      <c r="J69" s="9">
        <f>IF(H69="SCOPUS","N.A.",INDEX(학술지정보!$C$9:$O$50,MATCH($F69,학술지정보!$C$9:$C$50,0),13))</f>
        <v>4.28E-3</v>
      </c>
      <c r="K69" s="9" t="str">
        <f>IF(H69="SCOPUS","N.A.",INDEX(학술지정보!$C$9:$O$50,MATCH($F69,학술지정보!$C$9:$C$50,0),11))</f>
        <v>Q2</v>
      </c>
    </row>
    <row r="70" spans="1:11" ht="17.399999999999999">
      <c r="A70" s="5"/>
      <c r="B70" s="6">
        <f t="shared" si="0"/>
        <v>65</v>
      </c>
      <c r="C70" s="7">
        <v>2023</v>
      </c>
      <c r="D70" s="7">
        <v>4</v>
      </c>
      <c r="E70" s="10" t="s">
        <v>51</v>
      </c>
      <c r="F70" s="7" t="s">
        <v>52</v>
      </c>
      <c r="G70" s="7"/>
      <c r="H70" s="9" t="str">
        <f>INDEX(학술지정보!$C$9:$O$50,MATCH($F70,학술지정보!$C$9:$C$50,0),2)</f>
        <v>SCI(E)</v>
      </c>
      <c r="I70" s="96">
        <f>IF(H70="SCOPUS","N.A.",INDEX(학술지정보!$C$9:$O$50,MATCH($F70,학술지정보!$C$9:$C$50,0),12))</f>
        <v>5.2684108527131785</v>
      </c>
      <c r="J70" s="9">
        <f>IF(H70="SCOPUS","N.A.",INDEX(학술지정보!$C$9:$O$50,MATCH($F70,학술지정보!$C$9:$C$50,0),13))</f>
        <v>1.9879999999999998E-2</v>
      </c>
      <c r="K70" s="9" t="str">
        <f>IF(H70="SCOPUS","N.A.",INDEX(학술지정보!$C$9:$O$50,MATCH($F70,학술지정보!$C$9:$C$50,0),11))</f>
        <v>Q1</v>
      </c>
    </row>
    <row r="71" spans="1:11" ht="17.399999999999999">
      <c r="A71" s="5"/>
      <c r="B71" s="6">
        <f t="shared" si="0"/>
        <v>66</v>
      </c>
      <c r="C71" s="7">
        <v>2023</v>
      </c>
      <c r="D71" s="7">
        <v>5</v>
      </c>
      <c r="E71" s="100" t="s">
        <v>53</v>
      </c>
      <c r="F71" s="7" t="s">
        <v>54</v>
      </c>
      <c r="G71" s="7" t="s">
        <v>28</v>
      </c>
      <c r="H71" s="9" t="str">
        <f>INDEX(학술지정보!$C$9:$O$50,MATCH($F71,학술지정보!$C$9:$C$50,0),2)</f>
        <v>SCI(E)</v>
      </c>
      <c r="I71" s="96">
        <f>IF(H71="SCOPUS","N.A.",INDEX(학술지정보!$C$9:$O$50,MATCH($F71,학술지정보!$C$9:$C$50,0),12))</f>
        <v>4.4870848708487081</v>
      </c>
      <c r="J71" s="9">
        <f>IF(H71="SCOPUS","N.A.",INDEX(학술지정보!$C$9:$O$50,MATCH($F71,학술지정보!$C$9:$C$50,0),13))</f>
        <v>3.8400000000000001E-3</v>
      </c>
      <c r="K71" s="9" t="str">
        <f>IF(H71="SCOPUS","N.A.",INDEX(학술지정보!$C$9:$O$50,MATCH($F71,학술지정보!$C$9:$C$50,0),11))</f>
        <v>Q1</v>
      </c>
    </row>
    <row r="72" spans="1:11" ht="17.399999999999999">
      <c r="A72" s="5"/>
      <c r="B72" s="6">
        <f t="shared" ref="B72:B87" si="2">B71+1</f>
        <v>67</v>
      </c>
      <c r="C72" s="7">
        <v>2024</v>
      </c>
      <c r="D72" s="7">
        <v>1</v>
      </c>
      <c r="E72" s="10" t="s">
        <v>55</v>
      </c>
      <c r="F72" s="7" t="s">
        <v>56</v>
      </c>
      <c r="G72" s="7" t="s">
        <v>28</v>
      </c>
      <c r="H72" s="9" t="str">
        <f>INDEX(학술지정보!$C$9:$O$50,MATCH($F72,학술지정보!$C$9:$C$50,0),2)</f>
        <v>SCI(E)</v>
      </c>
      <c r="I72" s="96">
        <f>IF(H72="SCOPUS","N.A.",INDEX(학술지정보!$C$9:$O$50,MATCH($F72,학술지정보!$C$9:$C$50,0),12))</f>
        <v>3.7847866419294989</v>
      </c>
      <c r="J72" s="9">
        <f>IF(H72="SCOPUS","N.A.",INDEX(학술지정보!$C$9:$O$50,MATCH($F72,학술지정보!$C$9:$C$50,0),13))</f>
        <v>8.8299999999999993E-3</v>
      </c>
      <c r="K72" s="9" t="str">
        <f>IF(H72="SCOPUS","N.A.",INDEX(학술지정보!$C$9:$O$50,MATCH($F72,학술지정보!$C$9:$C$50,0),11))</f>
        <v>Q1</v>
      </c>
    </row>
    <row r="73" spans="1:11" ht="17.399999999999999">
      <c r="A73" s="5"/>
      <c r="B73" s="6">
        <f t="shared" si="2"/>
        <v>68</v>
      </c>
      <c r="C73" s="7">
        <v>2024</v>
      </c>
      <c r="D73" s="7">
        <v>2</v>
      </c>
      <c r="E73" s="10" t="s">
        <v>57</v>
      </c>
      <c r="F73" s="7" t="s">
        <v>45</v>
      </c>
      <c r="G73" s="7"/>
      <c r="H73" s="9" t="str">
        <f>INDEX(학술지정보!$C$9:$O$50,MATCH($F73,학술지정보!$C$9:$C$50,0),2)</f>
        <v>SCI(E)</v>
      </c>
      <c r="I73" s="96">
        <f>IF(H73="SCOPUS","N.A.",INDEX(학술지정보!$C$9:$O$50,MATCH($F73,학술지정보!$C$9:$C$50,0),12))</f>
        <v>2.5113871635610767</v>
      </c>
      <c r="J73" s="9">
        <f>IF(H73="SCOPUS","N.A.",INDEX(학술지정보!$C$9:$O$50,MATCH($F73,학술지정보!$C$9:$C$50,0),13))</f>
        <v>4.45E-3</v>
      </c>
      <c r="K73" s="9" t="str">
        <f>IF(H73="SCOPUS","N.A.",INDEX(학술지정보!$C$9:$O$50,MATCH($F73,학술지정보!$C$9:$C$50,0),11))</f>
        <v>Q2</v>
      </c>
    </row>
    <row r="74" spans="1:11" ht="17.399999999999999">
      <c r="A74" s="5"/>
      <c r="B74" s="6">
        <f t="shared" si="2"/>
        <v>69</v>
      </c>
      <c r="C74" s="7">
        <v>2024</v>
      </c>
      <c r="D74" s="7">
        <v>3</v>
      </c>
      <c r="E74" s="10" t="s">
        <v>58</v>
      </c>
      <c r="F74" s="7" t="s">
        <v>32</v>
      </c>
      <c r="G74" s="7"/>
      <c r="H74" s="9" t="str">
        <f>INDEX(학술지정보!$C$9:$O$50,MATCH($F74,학술지정보!$C$9:$C$50,0),2)</f>
        <v>SCI(E)</v>
      </c>
      <c r="I74" s="96">
        <f>IF(H74="SCOPUS","N.A.",INDEX(학술지정보!$C$9:$O$50,MATCH($F74,학술지정보!$C$9:$C$50,0),12))</f>
        <v>1.9105011933174225</v>
      </c>
      <c r="J74" s="9">
        <f>IF(H74="SCOPUS","N.A.",INDEX(학술지정보!$C$9:$O$50,MATCH($F74,학술지정보!$C$9:$C$50,0),13))</f>
        <v>7.1199999999999996E-3</v>
      </c>
      <c r="K74" s="9" t="str">
        <f>IF(H74="SCOPUS","N.A.",INDEX(학술지정보!$C$9:$O$50,MATCH($F74,학술지정보!$C$9:$C$50,0),11))</f>
        <v>Q2</v>
      </c>
    </row>
    <row r="75" spans="1:11" ht="17.399999999999999">
      <c r="A75" s="5"/>
      <c r="B75" s="6">
        <f t="shared" si="2"/>
        <v>70</v>
      </c>
      <c r="C75" s="7">
        <v>2024</v>
      </c>
      <c r="D75" s="7">
        <v>4</v>
      </c>
      <c r="E75" s="10" t="s">
        <v>59</v>
      </c>
      <c r="F75" s="7" t="s">
        <v>30</v>
      </c>
      <c r="G75" s="7" t="s">
        <v>28</v>
      </c>
      <c r="H75" s="9" t="str">
        <f>INDEX(학술지정보!$C$9:$O$50,MATCH($F75,학술지정보!$C$9:$C$50,0),2)</f>
        <v>SCI(E)</v>
      </c>
      <c r="I75" s="96">
        <f>IF(H75="SCOPUS","N.A.",INDEX(학술지정보!$C$9:$O$50,MATCH($F75,학술지정보!$C$9:$C$50,0),12))</f>
        <v>4.1788018433179728</v>
      </c>
      <c r="J75" s="9">
        <f>IF(H75="SCOPUS","N.A.",INDEX(학술지정보!$C$9:$O$50,MATCH($F75,학술지정보!$C$9:$C$50,0),13))</f>
        <v>1.7729999999999999E-2</v>
      </c>
      <c r="K75" s="9" t="str">
        <f>IF(H75="SCOPUS","N.A.",INDEX(학술지정보!$C$9:$O$50,MATCH($F75,학술지정보!$C$9:$C$50,0),11))</f>
        <v>Q1</v>
      </c>
    </row>
    <row r="76" spans="1:11" ht="17.399999999999999">
      <c r="A76" s="5"/>
      <c r="B76" s="6">
        <f t="shared" si="2"/>
        <v>71</v>
      </c>
      <c r="C76" s="7">
        <v>2024</v>
      </c>
      <c r="D76" s="7">
        <v>5</v>
      </c>
      <c r="E76" s="10" t="s">
        <v>60</v>
      </c>
      <c r="F76" s="7" t="s">
        <v>61</v>
      </c>
      <c r="G76" s="7" t="s">
        <v>28</v>
      </c>
      <c r="H76" s="9" t="str">
        <f>INDEX(학술지정보!$C$9:$O$50,MATCH($F76,학술지정보!$C$9:$C$50,0),2)</f>
        <v>SCI(E)</v>
      </c>
      <c r="I76" s="96">
        <f>IF(H76="SCOPUS","N.A.",INDEX(학술지정보!$C$9:$O$50,MATCH($F76,학술지정보!$C$9:$C$50,0),12))</f>
        <v>2.4518838589831602</v>
      </c>
      <c r="J76" s="9">
        <f>IF(H76="SCOPUS","N.A.",INDEX(학술지정보!$C$9:$O$50,MATCH($F76,학술지정보!$C$9:$C$50,0),13))</f>
        <v>0.11103</v>
      </c>
      <c r="K76" s="9" t="str">
        <f>IF(H76="SCOPUS","N.A.",INDEX(학술지정보!$C$9:$O$50,MATCH($F76,학술지정보!$C$9:$C$50,0),11))</f>
        <v>Q1</v>
      </c>
    </row>
    <row r="77" spans="1:11" ht="17.399999999999999">
      <c r="A77" s="113"/>
      <c r="B77" s="6">
        <f t="shared" si="2"/>
        <v>72</v>
      </c>
      <c r="C77" s="7">
        <v>2024</v>
      </c>
      <c r="D77" s="7">
        <v>6</v>
      </c>
      <c r="E77" s="100" t="s">
        <v>62</v>
      </c>
      <c r="F77" s="7" t="s">
        <v>32</v>
      </c>
      <c r="G77" s="7"/>
      <c r="H77" s="9" t="str">
        <f>INDEX(학술지정보!$C$9:$O$50,MATCH($F77,학술지정보!$C$9:$C$50,0),2)</f>
        <v>SCI(E)</v>
      </c>
      <c r="I77" s="96">
        <f>IF(H77="SCOPUS","N.A.",INDEX(학술지정보!$C$9:$O$50,MATCH($F77,학술지정보!$C$9:$C$50,0),12))</f>
        <v>1.9105011933174225</v>
      </c>
      <c r="J77" s="9">
        <f>IF(H77="SCOPUS","N.A.",INDEX(학술지정보!$C$9:$O$50,MATCH($F77,학술지정보!$C$9:$C$50,0),13))</f>
        <v>7.1199999999999996E-3</v>
      </c>
      <c r="K77" s="9" t="str">
        <f>IF(H77="SCOPUS","N.A.",INDEX(학술지정보!$C$9:$O$50,MATCH($F77,학술지정보!$C$9:$C$50,0),11))</f>
        <v>Q2</v>
      </c>
    </row>
    <row r="78" spans="1:11" ht="17.399999999999999">
      <c r="A78" s="5"/>
      <c r="B78" s="6">
        <f t="shared" si="2"/>
        <v>73</v>
      </c>
      <c r="C78" s="7">
        <v>2024</v>
      </c>
      <c r="D78" s="7">
        <v>7</v>
      </c>
      <c r="E78" s="10" t="s">
        <v>63</v>
      </c>
      <c r="F78" s="7" t="s">
        <v>56</v>
      </c>
      <c r="G78" s="7" t="s">
        <v>28</v>
      </c>
      <c r="H78" s="9" t="str">
        <f>INDEX(학술지정보!$C$9:$O$50,MATCH($F78,학술지정보!$C$9:$C$50,0),2)</f>
        <v>SCI(E)</v>
      </c>
      <c r="I78" s="96">
        <f>IF(H78="SCOPUS","N.A.",INDEX(학술지정보!$C$9:$O$50,MATCH($F78,학술지정보!$C$9:$C$50,0),12))</f>
        <v>3.7847866419294989</v>
      </c>
      <c r="J78" s="9">
        <f>IF(H78="SCOPUS","N.A.",INDEX(학술지정보!$C$9:$O$50,MATCH($F78,학술지정보!$C$9:$C$50,0),13))</f>
        <v>8.8299999999999993E-3</v>
      </c>
      <c r="K78" s="9" t="str">
        <f>IF(H78="SCOPUS","N.A.",INDEX(학술지정보!$C$9:$O$50,MATCH($F78,학술지정보!$C$9:$C$50,0),11))</f>
        <v>Q1</v>
      </c>
    </row>
    <row r="79" spans="1:11" ht="17.399999999999999">
      <c r="A79" s="5"/>
      <c r="B79" s="6">
        <f t="shared" si="2"/>
        <v>74</v>
      </c>
      <c r="C79" s="7">
        <v>2024</v>
      </c>
      <c r="D79" s="7">
        <v>8</v>
      </c>
      <c r="E79" s="10" t="s">
        <v>64</v>
      </c>
      <c r="F79" s="7" t="s">
        <v>65</v>
      </c>
      <c r="G79" s="7"/>
      <c r="H79" s="9" t="str">
        <f>INDEX(학술지정보!$C$9:$O$50,MATCH($F79,학술지정보!$C$9:$C$50,0),2)</f>
        <v>SCI(E)</v>
      </c>
      <c r="I79" s="96">
        <f>IF(H79="SCOPUS","N.A.",INDEX(학술지정보!$C$9:$O$50,MATCH($F79,학술지정보!$C$9:$C$50,0),12))</f>
        <v>3.897129186602871</v>
      </c>
      <c r="J79" s="9">
        <f>IF(H79="SCOPUS","N.A.",INDEX(학술지정보!$C$9:$O$50,MATCH($F79,학술지정보!$C$9:$C$50,0),13))</f>
        <v>8.3400000000000002E-3</v>
      </c>
      <c r="K79" s="9" t="str">
        <f>IF(H79="SCOPUS","N.A.",INDEX(학술지정보!$C$9:$O$50,MATCH($F79,학술지정보!$C$9:$C$50,0),11))</f>
        <v>Q1</v>
      </c>
    </row>
    <row r="80" spans="1:11" ht="17.399999999999999">
      <c r="A80" s="5"/>
      <c r="B80" s="6">
        <f t="shared" si="2"/>
        <v>75</v>
      </c>
      <c r="C80" s="7">
        <v>2024</v>
      </c>
      <c r="D80" s="7">
        <v>9</v>
      </c>
      <c r="E80" s="10" t="s">
        <v>66</v>
      </c>
      <c r="F80" s="7" t="s">
        <v>67</v>
      </c>
      <c r="G80" s="7" t="s">
        <v>28</v>
      </c>
      <c r="H80" s="9" t="str">
        <f>INDEX(학술지정보!$C$9:$O$50,MATCH($F80,학술지정보!$C$9:$C$50,0),2)</f>
        <v>SCI(E)</v>
      </c>
      <c r="I80" s="96">
        <f>IF(H80="SCOPUS","N.A.",INDEX(학술지정보!$C$9:$O$50,MATCH($F80,학술지정보!$C$9:$C$50,0),12))</f>
        <v>6.8949367088607598</v>
      </c>
      <c r="J80" s="9">
        <f>IF(H80="SCOPUS","N.A.",INDEX(학술지정보!$C$9:$O$50,MATCH($F80,학술지정보!$C$9:$C$50,0),13))</f>
        <v>2.4389999999999998E-2</v>
      </c>
      <c r="K80" s="9" t="str">
        <f>IF(H80="SCOPUS","N.A.",INDEX(학술지정보!$C$9:$O$50,MATCH($F80,학술지정보!$C$9:$C$50,0),11))</f>
        <v>Q1</v>
      </c>
    </row>
    <row r="81" spans="2:10" ht="16.5" customHeight="1">
      <c r="B81" s="6">
        <f t="shared" si="2"/>
        <v>76</v>
      </c>
      <c r="C81" s="7">
        <v>2025</v>
      </c>
      <c r="D81" s="7">
        <v>1</v>
      </c>
      <c r="E81" s="2" t="s">
        <v>638</v>
      </c>
      <c r="F81" s="2" t="s">
        <v>642</v>
      </c>
      <c r="G81" s="2"/>
      <c r="I81" s="2"/>
      <c r="J81" s="2"/>
    </row>
    <row r="82" spans="2:10" ht="16.5" customHeight="1">
      <c r="B82" s="6">
        <f t="shared" si="2"/>
        <v>77</v>
      </c>
      <c r="C82" s="7">
        <v>2025</v>
      </c>
      <c r="D82" s="7">
        <v>2</v>
      </c>
      <c r="E82" s="2" t="s">
        <v>639</v>
      </c>
      <c r="F82" s="2" t="s">
        <v>643</v>
      </c>
      <c r="G82" s="2"/>
      <c r="I82" s="2"/>
      <c r="J82" s="2"/>
    </row>
    <row r="83" spans="2:10" ht="16.5" customHeight="1">
      <c r="B83" s="6">
        <f t="shared" si="2"/>
        <v>78</v>
      </c>
      <c r="C83" s="7">
        <v>2025</v>
      </c>
      <c r="D83" s="7">
        <v>3</v>
      </c>
      <c r="E83" s="126" t="s">
        <v>641</v>
      </c>
      <c r="F83" s="2" t="s">
        <v>36</v>
      </c>
      <c r="G83" s="2"/>
      <c r="I83" s="2"/>
      <c r="J83" s="2"/>
    </row>
    <row r="84" spans="2:10" ht="16.5" customHeight="1">
      <c r="B84" s="6">
        <f t="shared" si="2"/>
        <v>79</v>
      </c>
      <c r="C84" s="7">
        <v>2025</v>
      </c>
      <c r="D84" s="7">
        <v>4</v>
      </c>
      <c r="E84" s="2" t="s">
        <v>640</v>
      </c>
      <c r="F84" s="2" t="s">
        <v>30</v>
      </c>
      <c r="G84" s="2"/>
      <c r="I84" s="2"/>
      <c r="J84" s="2"/>
    </row>
    <row r="85" spans="2:10" ht="16.5" customHeight="1">
      <c r="B85" s="6">
        <f t="shared" si="2"/>
        <v>80</v>
      </c>
      <c r="C85" s="7">
        <v>2025</v>
      </c>
      <c r="D85" s="7">
        <v>5</v>
      </c>
      <c r="E85" s="2" t="s">
        <v>49</v>
      </c>
      <c r="F85" s="2" t="s">
        <v>50</v>
      </c>
      <c r="G85" s="2"/>
      <c r="I85" s="2"/>
      <c r="J85" s="2"/>
    </row>
    <row r="86" spans="2:10" ht="16.5" customHeight="1">
      <c r="B86" s="6">
        <f t="shared" si="2"/>
        <v>81</v>
      </c>
      <c r="C86" s="7">
        <v>2025</v>
      </c>
      <c r="D86" s="7">
        <v>6</v>
      </c>
      <c r="E86" s="2"/>
      <c r="F86" s="2"/>
      <c r="G86" s="2"/>
      <c r="I86" s="2"/>
      <c r="J86" s="2"/>
    </row>
    <row r="87" spans="2:10" ht="16.5" customHeight="1">
      <c r="B87" s="6">
        <f t="shared" si="2"/>
        <v>82</v>
      </c>
      <c r="C87" s="7">
        <v>2025</v>
      </c>
      <c r="D87" s="7">
        <v>7</v>
      </c>
      <c r="E87" s="2"/>
      <c r="F87" s="2"/>
      <c r="G87" s="2"/>
      <c r="I87" s="2"/>
      <c r="J87" s="2"/>
    </row>
    <row r="88" spans="2:10" ht="16.5" customHeight="1">
      <c r="C88" s="2"/>
      <c r="D88" s="2"/>
      <c r="E88" s="2"/>
      <c r="F88" s="2"/>
      <c r="G88" s="2"/>
      <c r="I88" s="2"/>
      <c r="J88" s="2"/>
    </row>
    <row r="89" spans="2:10" ht="16.5" customHeight="1">
      <c r="C89" s="2"/>
      <c r="D89" s="2"/>
      <c r="E89" s="2"/>
      <c r="F89" s="2"/>
      <c r="G89" s="2"/>
      <c r="I89" s="2"/>
      <c r="J89" s="2"/>
    </row>
    <row r="90" spans="2:10" ht="16.5" customHeight="1">
      <c r="C90" s="2"/>
      <c r="D90" s="2"/>
      <c r="E90" s="2"/>
      <c r="F90" s="2"/>
      <c r="G90" s="2"/>
      <c r="I90" s="2"/>
      <c r="J90" s="2"/>
    </row>
    <row r="91" spans="2:10" ht="16.5" customHeight="1">
      <c r="C91" s="2"/>
      <c r="D91" s="2"/>
      <c r="E91" s="2"/>
      <c r="F91" s="2"/>
      <c r="G91" s="2"/>
      <c r="I91" s="2"/>
      <c r="J91" s="2"/>
    </row>
    <row r="92" spans="2:10" ht="16.5" customHeight="1">
      <c r="C92" s="2"/>
      <c r="D92" s="2"/>
      <c r="E92" s="2"/>
      <c r="F92" s="2"/>
      <c r="G92" s="2"/>
      <c r="I92" s="2"/>
      <c r="J92" s="2"/>
    </row>
    <row r="93" spans="2:10" ht="16.5" customHeight="1">
      <c r="C93" s="2"/>
      <c r="D93" s="2"/>
      <c r="E93" s="2"/>
      <c r="F93" s="2"/>
      <c r="G93" s="2"/>
      <c r="I93" s="2"/>
      <c r="J93" s="2"/>
    </row>
    <row r="94" spans="2:10" ht="16.5" customHeight="1">
      <c r="C94" s="2"/>
      <c r="D94" s="2"/>
      <c r="E94" s="2"/>
      <c r="F94" s="2"/>
      <c r="G94" s="2"/>
      <c r="I94" s="2"/>
      <c r="J94" s="2"/>
    </row>
    <row r="95" spans="2:10" ht="16.5" customHeight="1">
      <c r="C95" s="2"/>
      <c r="D95" s="2"/>
      <c r="E95" s="2"/>
      <c r="F95" s="2"/>
      <c r="G95" s="2"/>
      <c r="I95" s="2"/>
      <c r="J95" s="2"/>
    </row>
    <row r="96" spans="2:10" ht="16.5" customHeight="1">
      <c r="C96" s="2"/>
      <c r="D96" s="2"/>
      <c r="E96" s="2"/>
      <c r="F96" s="2"/>
      <c r="G96" s="2"/>
      <c r="I96" s="2"/>
      <c r="J96" s="2"/>
    </row>
    <row r="97" spans="3:10" ht="16.5" customHeight="1">
      <c r="C97" s="2"/>
      <c r="D97" s="2"/>
      <c r="E97" s="2"/>
      <c r="F97" s="2"/>
      <c r="G97" s="2"/>
      <c r="I97" s="2"/>
      <c r="J97" s="2"/>
    </row>
    <row r="98" spans="3:10" ht="16.5" customHeight="1">
      <c r="C98" s="2"/>
      <c r="D98" s="2"/>
      <c r="E98" s="2"/>
      <c r="F98" s="2"/>
      <c r="G98" s="2"/>
      <c r="I98" s="2"/>
      <c r="J98" s="2"/>
    </row>
    <row r="99" spans="3:10" ht="16.5" customHeight="1">
      <c r="C99" s="2"/>
      <c r="D99" s="2"/>
      <c r="E99" s="2"/>
      <c r="F99" s="2"/>
      <c r="G99" s="2"/>
      <c r="I99" s="2"/>
      <c r="J99" s="2"/>
    </row>
    <row r="100" spans="3:10" ht="16.5" customHeight="1">
      <c r="C100" s="2"/>
      <c r="D100" s="2"/>
      <c r="E100" s="2"/>
      <c r="F100" s="2"/>
      <c r="G100" s="2"/>
      <c r="I100" s="2"/>
      <c r="J100" s="2"/>
    </row>
    <row r="101" spans="3:10" ht="16.5" customHeight="1">
      <c r="C101" s="2"/>
      <c r="D101" s="2"/>
      <c r="E101" s="2"/>
      <c r="F101" s="2"/>
      <c r="G101" s="2"/>
      <c r="I101" s="2"/>
      <c r="J101" s="2"/>
    </row>
    <row r="102" spans="3:10" ht="16.5" customHeight="1">
      <c r="C102" s="2"/>
      <c r="D102" s="2"/>
      <c r="E102" s="2"/>
      <c r="F102" s="2"/>
      <c r="G102" s="2"/>
      <c r="I102" s="2"/>
      <c r="J102" s="2"/>
    </row>
    <row r="103" spans="3:10" ht="16.5" customHeight="1">
      <c r="C103" s="2"/>
      <c r="D103" s="2"/>
      <c r="E103" s="2"/>
      <c r="F103" s="2"/>
      <c r="G103" s="2"/>
      <c r="I103" s="2"/>
      <c r="J103" s="2"/>
    </row>
    <row r="104" spans="3:10" ht="16.5" customHeight="1">
      <c r="C104" s="2"/>
      <c r="D104" s="2"/>
      <c r="E104" s="2"/>
      <c r="F104" s="2"/>
      <c r="G104" s="2"/>
      <c r="I104" s="2"/>
      <c r="J104" s="2"/>
    </row>
    <row r="105" spans="3:10" ht="16.5" customHeight="1">
      <c r="C105" s="2"/>
      <c r="D105" s="2"/>
      <c r="E105" s="2"/>
      <c r="F105" s="2"/>
      <c r="G105" s="2"/>
      <c r="I105" s="2"/>
      <c r="J105" s="2"/>
    </row>
    <row r="106" spans="3:10" ht="16.5" customHeight="1">
      <c r="C106" s="2"/>
      <c r="D106" s="2"/>
      <c r="E106" s="2"/>
      <c r="F106" s="2"/>
      <c r="G106" s="2"/>
      <c r="I106" s="2"/>
      <c r="J106" s="2"/>
    </row>
    <row r="107" spans="3:10" ht="16.5" customHeight="1">
      <c r="C107" s="2"/>
      <c r="D107" s="2"/>
      <c r="E107" s="2"/>
      <c r="F107" s="2"/>
      <c r="G107" s="2"/>
      <c r="I107" s="2"/>
      <c r="J107" s="2"/>
    </row>
    <row r="108" spans="3:10" ht="16.5" customHeight="1">
      <c r="C108" s="2"/>
      <c r="D108" s="2"/>
      <c r="E108" s="2"/>
      <c r="F108" s="2"/>
      <c r="G108" s="2"/>
      <c r="I108" s="2"/>
      <c r="J108" s="2"/>
    </row>
    <row r="109" spans="3:10" ht="16.5" customHeight="1">
      <c r="C109" s="2"/>
      <c r="D109" s="2"/>
      <c r="E109" s="2"/>
      <c r="F109" s="2"/>
      <c r="G109" s="2"/>
      <c r="I109" s="2"/>
      <c r="J109" s="2"/>
    </row>
    <row r="110" spans="3:10" ht="16.5" customHeight="1">
      <c r="C110" s="2"/>
      <c r="D110" s="2"/>
      <c r="E110" s="2"/>
      <c r="F110" s="2"/>
      <c r="G110" s="2"/>
      <c r="I110" s="2"/>
      <c r="J110" s="2"/>
    </row>
    <row r="111" spans="3:10" ht="16.5" customHeight="1">
      <c r="C111" s="2"/>
      <c r="D111" s="2"/>
      <c r="E111" s="2"/>
      <c r="F111" s="2"/>
      <c r="G111" s="2"/>
      <c r="I111" s="2"/>
      <c r="J111" s="2"/>
    </row>
    <row r="112" spans="3:10" ht="16.5" customHeight="1">
      <c r="C112" s="2"/>
      <c r="D112" s="2"/>
      <c r="E112" s="2"/>
      <c r="F112" s="2"/>
      <c r="G112" s="2"/>
      <c r="I112" s="2"/>
      <c r="J112" s="2"/>
    </row>
    <row r="113" spans="3:10" ht="16.5" customHeight="1">
      <c r="C113" s="2"/>
      <c r="D113" s="2"/>
      <c r="E113" s="2"/>
      <c r="F113" s="2"/>
      <c r="G113" s="2"/>
      <c r="I113" s="2"/>
      <c r="J113" s="2"/>
    </row>
    <row r="114" spans="3:10" ht="16.5" customHeight="1">
      <c r="C114" s="2"/>
      <c r="D114" s="2"/>
      <c r="E114" s="2"/>
      <c r="F114" s="2"/>
      <c r="G114" s="2"/>
      <c r="I114" s="2"/>
      <c r="J114" s="2"/>
    </row>
    <row r="115" spans="3:10" ht="16.5" customHeight="1">
      <c r="C115" s="2"/>
      <c r="D115" s="2"/>
      <c r="E115" s="2"/>
      <c r="F115" s="2"/>
      <c r="G115" s="2"/>
      <c r="I115" s="2"/>
      <c r="J115" s="2"/>
    </row>
    <row r="116" spans="3:10" ht="16.5" customHeight="1">
      <c r="C116" s="2"/>
      <c r="D116" s="2"/>
      <c r="E116" s="2"/>
      <c r="F116" s="2"/>
      <c r="G116" s="2"/>
      <c r="I116" s="2"/>
      <c r="J116" s="2"/>
    </row>
    <row r="117" spans="3:10" ht="16.5" customHeight="1">
      <c r="C117" s="2"/>
      <c r="D117" s="2"/>
      <c r="E117" s="2"/>
      <c r="F117" s="2"/>
      <c r="G117" s="2"/>
      <c r="I117" s="2"/>
      <c r="J117" s="2"/>
    </row>
    <row r="118" spans="3:10" ht="16.5" customHeight="1">
      <c r="C118" s="2"/>
      <c r="D118" s="2"/>
      <c r="E118" s="2"/>
      <c r="F118" s="2"/>
      <c r="G118" s="2"/>
      <c r="I118" s="2"/>
      <c r="J118" s="2"/>
    </row>
    <row r="119" spans="3:10" ht="16.5" customHeight="1">
      <c r="C119" s="2"/>
      <c r="D119" s="2"/>
      <c r="E119" s="2"/>
      <c r="F119" s="2"/>
      <c r="G119" s="2"/>
      <c r="I119" s="2"/>
      <c r="J119" s="2"/>
    </row>
    <row r="120" spans="3:10" ht="16.5" customHeight="1">
      <c r="C120" s="2"/>
      <c r="D120" s="2"/>
      <c r="E120" s="2"/>
      <c r="F120" s="2"/>
      <c r="G120" s="2"/>
      <c r="I120" s="2"/>
      <c r="J120" s="2"/>
    </row>
    <row r="121" spans="3:10" ht="16.5" customHeight="1">
      <c r="C121" s="2"/>
      <c r="D121" s="2"/>
      <c r="E121" s="2"/>
      <c r="F121" s="2"/>
      <c r="G121" s="2"/>
      <c r="I121" s="2"/>
      <c r="J121" s="2"/>
    </row>
    <row r="122" spans="3:10" ht="16.5" customHeight="1">
      <c r="C122" s="2"/>
      <c r="D122" s="2"/>
      <c r="E122" s="2"/>
      <c r="F122" s="2"/>
      <c r="G122" s="2"/>
      <c r="I122" s="2"/>
      <c r="J122" s="2"/>
    </row>
    <row r="123" spans="3:10" ht="16.5" customHeight="1">
      <c r="C123" s="2"/>
      <c r="D123" s="2"/>
      <c r="E123" s="2"/>
      <c r="F123" s="2"/>
      <c r="G123" s="2"/>
      <c r="I123" s="2"/>
      <c r="J123" s="2"/>
    </row>
    <row r="124" spans="3:10" ht="16.5" customHeight="1">
      <c r="C124" s="2"/>
      <c r="D124" s="2"/>
      <c r="E124" s="2"/>
      <c r="F124" s="2"/>
      <c r="G124" s="2"/>
      <c r="I124" s="2"/>
      <c r="J124" s="2"/>
    </row>
    <row r="125" spans="3:10" ht="16.5" customHeight="1">
      <c r="C125" s="2"/>
      <c r="D125" s="2"/>
      <c r="E125" s="2"/>
      <c r="F125" s="2"/>
      <c r="G125" s="2"/>
      <c r="I125" s="2"/>
      <c r="J125" s="2"/>
    </row>
    <row r="126" spans="3:10" ht="16.5" customHeight="1">
      <c r="C126" s="2"/>
      <c r="D126" s="2"/>
      <c r="E126" s="2"/>
      <c r="F126" s="2"/>
      <c r="G126" s="2"/>
      <c r="I126" s="2"/>
      <c r="J126" s="2"/>
    </row>
    <row r="127" spans="3:10" ht="16.5" customHeight="1">
      <c r="C127" s="2"/>
      <c r="D127" s="2"/>
      <c r="E127" s="2"/>
      <c r="F127" s="2"/>
      <c r="G127" s="2"/>
      <c r="I127" s="2"/>
      <c r="J127" s="2"/>
    </row>
    <row r="128" spans="3:10" ht="16.5" customHeight="1">
      <c r="C128" s="2"/>
      <c r="D128" s="2"/>
      <c r="E128" s="2"/>
      <c r="F128" s="2"/>
      <c r="G128" s="2"/>
      <c r="I128" s="2"/>
      <c r="J128" s="2"/>
    </row>
    <row r="129" spans="3:10" ht="16.5" customHeight="1">
      <c r="C129" s="2"/>
      <c r="D129" s="2"/>
      <c r="E129" s="2"/>
      <c r="F129" s="2"/>
      <c r="G129" s="2"/>
      <c r="I129" s="2"/>
      <c r="J129" s="2"/>
    </row>
    <row r="130" spans="3:10" ht="16.5" customHeight="1">
      <c r="C130" s="2"/>
      <c r="D130" s="2"/>
      <c r="E130" s="2"/>
      <c r="F130" s="2"/>
      <c r="G130" s="2"/>
      <c r="I130" s="2"/>
      <c r="J130" s="2"/>
    </row>
    <row r="131" spans="3:10" ht="16.5" customHeight="1">
      <c r="C131" s="2"/>
      <c r="D131" s="2"/>
      <c r="E131" s="2"/>
      <c r="F131" s="2"/>
      <c r="G131" s="2"/>
      <c r="I131" s="2"/>
      <c r="J131" s="2"/>
    </row>
    <row r="132" spans="3:10" ht="16.5" customHeight="1">
      <c r="C132" s="2"/>
      <c r="D132" s="2"/>
      <c r="E132" s="2"/>
      <c r="F132" s="2"/>
      <c r="G132" s="2"/>
      <c r="I132" s="2"/>
      <c r="J132" s="2"/>
    </row>
    <row r="133" spans="3:10" ht="16.5" customHeight="1">
      <c r="C133" s="2"/>
      <c r="D133" s="2"/>
      <c r="E133" s="2"/>
      <c r="F133" s="2"/>
      <c r="G133" s="2"/>
      <c r="I133" s="2"/>
      <c r="J133" s="2"/>
    </row>
    <row r="134" spans="3:10" ht="16.5" customHeight="1">
      <c r="C134" s="2"/>
      <c r="D134" s="2"/>
      <c r="E134" s="2"/>
      <c r="F134" s="2"/>
      <c r="G134" s="2"/>
      <c r="I134" s="2"/>
      <c r="J134" s="2"/>
    </row>
    <row r="135" spans="3:10" ht="16.5" customHeight="1">
      <c r="C135" s="2"/>
      <c r="D135" s="2"/>
      <c r="E135" s="2"/>
      <c r="F135" s="2"/>
      <c r="G135" s="2"/>
      <c r="I135" s="2"/>
      <c r="J135" s="2"/>
    </row>
    <row r="136" spans="3:10" ht="16.5" customHeight="1">
      <c r="C136" s="2"/>
      <c r="D136" s="2"/>
      <c r="E136" s="2"/>
      <c r="F136" s="2"/>
      <c r="G136" s="2"/>
      <c r="I136" s="2"/>
      <c r="J136" s="2"/>
    </row>
    <row r="137" spans="3:10" ht="16.5" customHeight="1">
      <c r="C137" s="2"/>
      <c r="D137" s="2"/>
      <c r="E137" s="2"/>
      <c r="F137" s="2"/>
      <c r="G137" s="2"/>
      <c r="I137" s="2"/>
      <c r="J137" s="2"/>
    </row>
    <row r="138" spans="3:10" ht="16.5" customHeight="1">
      <c r="C138" s="2"/>
      <c r="D138" s="2"/>
      <c r="E138" s="2"/>
      <c r="F138" s="2"/>
      <c r="G138" s="2"/>
      <c r="I138" s="2"/>
      <c r="J138" s="2"/>
    </row>
    <row r="139" spans="3:10" ht="16.5" customHeight="1">
      <c r="C139" s="2"/>
      <c r="D139" s="2"/>
      <c r="E139" s="2"/>
      <c r="F139" s="2"/>
      <c r="G139" s="2"/>
      <c r="I139" s="2"/>
      <c r="J139" s="2"/>
    </row>
    <row r="140" spans="3:10" ht="16.5" customHeight="1">
      <c r="C140" s="2"/>
      <c r="D140" s="2"/>
      <c r="E140" s="2"/>
      <c r="F140" s="2"/>
      <c r="G140" s="2"/>
      <c r="I140" s="2"/>
      <c r="J140" s="2"/>
    </row>
    <row r="141" spans="3:10" ht="16.5" customHeight="1">
      <c r="C141" s="2"/>
      <c r="D141" s="2"/>
      <c r="E141" s="2"/>
      <c r="F141" s="2"/>
      <c r="G141" s="2"/>
      <c r="I141" s="2"/>
      <c r="J141" s="2"/>
    </row>
    <row r="142" spans="3:10" ht="16.5" customHeight="1">
      <c r="C142" s="2"/>
      <c r="D142" s="2"/>
      <c r="E142" s="2"/>
      <c r="F142" s="2"/>
      <c r="G142" s="2"/>
      <c r="I142" s="2"/>
      <c r="J142" s="2"/>
    </row>
    <row r="143" spans="3:10" ht="16.5" customHeight="1">
      <c r="C143" s="2"/>
      <c r="D143" s="2"/>
      <c r="E143" s="2"/>
      <c r="F143" s="2"/>
      <c r="G143" s="2"/>
      <c r="I143" s="2"/>
      <c r="J143" s="2"/>
    </row>
    <row r="144" spans="3:10" ht="16.5" customHeight="1">
      <c r="C144" s="2"/>
      <c r="D144" s="2"/>
      <c r="E144" s="2"/>
      <c r="F144" s="2"/>
      <c r="G144" s="2"/>
      <c r="I144" s="2"/>
      <c r="J144" s="2"/>
    </row>
    <row r="145" spans="3:10" ht="16.5" customHeight="1">
      <c r="C145" s="2"/>
      <c r="D145" s="2"/>
      <c r="E145" s="2"/>
      <c r="F145" s="2"/>
      <c r="G145" s="2"/>
      <c r="I145" s="2"/>
      <c r="J145" s="2"/>
    </row>
    <row r="146" spans="3:10" ht="16.5" customHeight="1">
      <c r="C146" s="2"/>
      <c r="D146" s="2"/>
      <c r="E146" s="2"/>
      <c r="F146" s="2"/>
      <c r="G146" s="2"/>
      <c r="I146" s="2"/>
      <c r="J146" s="2"/>
    </row>
    <row r="147" spans="3:10" ht="16.5" customHeight="1">
      <c r="C147" s="2"/>
      <c r="D147" s="2"/>
      <c r="E147" s="2"/>
      <c r="F147" s="2"/>
      <c r="G147" s="2"/>
      <c r="I147" s="2"/>
      <c r="J147" s="2"/>
    </row>
    <row r="148" spans="3:10" ht="16.5" customHeight="1">
      <c r="C148" s="2"/>
      <c r="D148" s="2"/>
      <c r="E148" s="2"/>
      <c r="F148" s="2"/>
      <c r="G148" s="2"/>
      <c r="I148" s="2"/>
      <c r="J148" s="2"/>
    </row>
    <row r="149" spans="3:10" ht="16.5" customHeight="1">
      <c r="C149" s="2"/>
      <c r="D149" s="2"/>
      <c r="E149" s="2"/>
      <c r="F149" s="2"/>
      <c r="G149" s="2"/>
      <c r="I149" s="2"/>
      <c r="J149" s="2"/>
    </row>
    <row r="150" spans="3:10" ht="16.5" customHeight="1">
      <c r="C150" s="2"/>
      <c r="D150" s="2"/>
      <c r="E150" s="2"/>
      <c r="F150" s="2"/>
      <c r="G150" s="2"/>
      <c r="I150" s="2"/>
      <c r="J150" s="2"/>
    </row>
    <row r="151" spans="3:10" ht="16.5" customHeight="1">
      <c r="C151" s="2"/>
      <c r="D151" s="2"/>
      <c r="E151" s="2"/>
      <c r="F151" s="2"/>
      <c r="G151" s="2"/>
      <c r="I151" s="2"/>
      <c r="J151" s="2"/>
    </row>
    <row r="152" spans="3:10" ht="16.5" customHeight="1">
      <c r="C152" s="2"/>
      <c r="D152" s="2"/>
      <c r="E152" s="2"/>
      <c r="F152" s="2"/>
      <c r="G152" s="2"/>
      <c r="I152" s="2"/>
      <c r="J152" s="2"/>
    </row>
    <row r="153" spans="3:10" ht="16.5" customHeight="1">
      <c r="C153" s="2"/>
      <c r="D153" s="2"/>
      <c r="E153" s="2"/>
      <c r="F153" s="2"/>
      <c r="G153" s="2"/>
      <c r="I153" s="2"/>
      <c r="J153" s="2"/>
    </row>
    <row r="154" spans="3:10" ht="16.5" customHeight="1">
      <c r="C154" s="2"/>
      <c r="D154" s="2"/>
      <c r="E154" s="2"/>
      <c r="F154" s="2"/>
      <c r="G154" s="2"/>
      <c r="I154" s="2"/>
      <c r="J154" s="2"/>
    </row>
    <row r="155" spans="3:10" ht="16.5" customHeight="1">
      <c r="C155" s="2"/>
      <c r="D155" s="2"/>
      <c r="E155" s="2"/>
      <c r="F155" s="2"/>
      <c r="G155" s="2"/>
      <c r="I155" s="2"/>
      <c r="J155" s="2"/>
    </row>
    <row r="156" spans="3:10" ht="16.5" customHeight="1">
      <c r="C156" s="2"/>
      <c r="D156" s="2"/>
      <c r="E156" s="2"/>
      <c r="F156" s="2"/>
      <c r="G156" s="2"/>
      <c r="I156" s="2"/>
      <c r="J156" s="2"/>
    </row>
    <row r="157" spans="3:10" ht="16.5" customHeight="1">
      <c r="C157" s="2"/>
      <c r="D157" s="2"/>
      <c r="E157" s="2"/>
      <c r="F157" s="2"/>
      <c r="G157" s="2"/>
      <c r="I157" s="2"/>
      <c r="J157" s="2"/>
    </row>
    <row r="158" spans="3:10" ht="16.5" customHeight="1">
      <c r="C158" s="2"/>
      <c r="D158" s="2"/>
      <c r="E158" s="2"/>
      <c r="F158" s="2"/>
      <c r="G158" s="2"/>
      <c r="I158" s="2"/>
      <c r="J158" s="2"/>
    </row>
    <row r="159" spans="3:10" ht="16.5" customHeight="1">
      <c r="C159" s="2"/>
      <c r="D159" s="2"/>
      <c r="E159" s="2"/>
      <c r="F159" s="2"/>
      <c r="G159" s="2"/>
      <c r="I159" s="2"/>
      <c r="J159" s="2"/>
    </row>
    <row r="160" spans="3:10" ht="16.5" customHeight="1">
      <c r="C160" s="2"/>
      <c r="D160" s="2"/>
      <c r="E160" s="2"/>
      <c r="F160" s="2"/>
      <c r="G160" s="2"/>
      <c r="I160" s="2"/>
      <c r="J160" s="2"/>
    </row>
    <row r="161" spans="3:10" ht="16.5" customHeight="1">
      <c r="C161" s="2"/>
      <c r="D161" s="2"/>
      <c r="E161" s="2"/>
      <c r="F161" s="2"/>
      <c r="G161" s="2"/>
      <c r="I161" s="2"/>
      <c r="J161" s="2"/>
    </row>
    <row r="162" spans="3:10" ht="16.5" customHeight="1">
      <c r="C162" s="2"/>
      <c r="D162" s="2"/>
      <c r="E162" s="2"/>
      <c r="F162" s="2"/>
      <c r="G162" s="2"/>
      <c r="I162" s="2"/>
      <c r="J162" s="2"/>
    </row>
    <row r="163" spans="3:10" ht="16.5" customHeight="1">
      <c r="C163" s="2"/>
      <c r="D163" s="2"/>
      <c r="E163" s="2"/>
      <c r="F163" s="2"/>
      <c r="G163" s="2"/>
      <c r="I163" s="2"/>
      <c r="J163" s="2"/>
    </row>
    <row r="164" spans="3:10" ht="16.5" customHeight="1">
      <c r="C164" s="2"/>
      <c r="D164" s="2"/>
      <c r="E164" s="2"/>
      <c r="F164" s="2"/>
      <c r="G164" s="2"/>
      <c r="I164" s="2"/>
      <c r="J164" s="2"/>
    </row>
    <row r="165" spans="3:10" ht="16.5" customHeight="1">
      <c r="C165" s="2"/>
      <c r="D165" s="2"/>
      <c r="E165" s="2"/>
      <c r="F165" s="2"/>
      <c r="G165" s="2"/>
      <c r="I165" s="2"/>
      <c r="J165" s="2"/>
    </row>
    <row r="166" spans="3:10" ht="16.5" customHeight="1">
      <c r="C166" s="2"/>
      <c r="D166" s="2"/>
      <c r="E166" s="2"/>
      <c r="F166" s="2"/>
      <c r="G166" s="2"/>
      <c r="I166" s="2"/>
      <c r="J166" s="2"/>
    </row>
    <row r="167" spans="3:10" ht="16.5" customHeight="1">
      <c r="C167" s="2"/>
      <c r="D167" s="2"/>
      <c r="E167" s="2"/>
      <c r="F167" s="2"/>
      <c r="G167" s="2"/>
      <c r="I167" s="2"/>
      <c r="J167" s="2"/>
    </row>
    <row r="168" spans="3:10" ht="16.5" customHeight="1">
      <c r="C168" s="2"/>
      <c r="D168" s="2"/>
      <c r="E168" s="2"/>
      <c r="F168" s="2"/>
      <c r="G168" s="2"/>
      <c r="I168" s="2"/>
      <c r="J168" s="2"/>
    </row>
    <row r="169" spans="3:10" ht="16.5" customHeight="1">
      <c r="C169" s="2"/>
      <c r="D169" s="2"/>
      <c r="E169" s="2"/>
      <c r="F169" s="2"/>
      <c r="G169" s="2"/>
      <c r="I169" s="2"/>
      <c r="J169" s="2"/>
    </row>
    <row r="170" spans="3:10" ht="16.5" customHeight="1">
      <c r="C170" s="2"/>
      <c r="D170" s="2"/>
      <c r="E170" s="2"/>
      <c r="F170" s="2"/>
      <c r="G170" s="2"/>
      <c r="I170" s="2"/>
      <c r="J170" s="2"/>
    </row>
    <row r="171" spans="3:10" ht="16.5" customHeight="1">
      <c r="C171" s="2"/>
      <c r="D171" s="2"/>
      <c r="E171" s="2"/>
      <c r="F171" s="2"/>
      <c r="G171" s="2"/>
      <c r="I171" s="2"/>
      <c r="J171" s="2"/>
    </row>
    <row r="172" spans="3:10" ht="16.5" customHeight="1">
      <c r="C172" s="2"/>
      <c r="D172" s="2"/>
      <c r="E172" s="2"/>
      <c r="F172" s="2"/>
      <c r="G172" s="2"/>
      <c r="I172" s="2"/>
      <c r="J172" s="2"/>
    </row>
    <row r="173" spans="3:10" ht="16.5" customHeight="1">
      <c r="C173" s="2"/>
      <c r="D173" s="2"/>
      <c r="E173" s="2"/>
      <c r="F173" s="2"/>
      <c r="G173" s="2"/>
      <c r="I173" s="2"/>
      <c r="J173" s="2"/>
    </row>
    <row r="174" spans="3:10" ht="16.5" customHeight="1">
      <c r="C174" s="2"/>
      <c r="D174" s="2"/>
      <c r="E174" s="2"/>
      <c r="F174" s="2"/>
      <c r="G174" s="2"/>
      <c r="I174" s="2"/>
      <c r="J174" s="2"/>
    </row>
    <row r="175" spans="3:10" ht="16.5" customHeight="1">
      <c r="C175" s="2"/>
      <c r="D175" s="2"/>
      <c r="E175" s="2"/>
      <c r="F175" s="2"/>
      <c r="G175" s="2"/>
      <c r="I175" s="2"/>
      <c r="J175" s="2"/>
    </row>
    <row r="176" spans="3:10" ht="16.5" customHeight="1">
      <c r="C176" s="2"/>
      <c r="D176" s="2"/>
      <c r="E176" s="2"/>
      <c r="F176" s="2"/>
      <c r="G176" s="2"/>
      <c r="I176" s="2"/>
      <c r="J176" s="2"/>
    </row>
    <row r="177" spans="3:10" ht="16.5" customHeight="1">
      <c r="C177" s="2"/>
      <c r="D177" s="2"/>
      <c r="E177" s="2"/>
      <c r="F177" s="2"/>
      <c r="G177" s="2"/>
      <c r="I177" s="2"/>
      <c r="J177" s="2"/>
    </row>
    <row r="178" spans="3:10" ht="16.5" customHeight="1">
      <c r="C178" s="2"/>
      <c r="D178" s="2"/>
      <c r="E178" s="2"/>
      <c r="F178" s="2"/>
      <c r="G178" s="2"/>
      <c r="I178" s="2"/>
      <c r="J178" s="2"/>
    </row>
    <row r="179" spans="3:10" ht="16.5" customHeight="1">
      <c r="C179" s="2"/>
      <c r="D179" s="2"/>
      <c r="E179" s="2"/>
      <c r="F179" s="2"/>
      <c r="G179" s="2"/>
      <c r="I179" s="2"/>
      <c r="J179" s="2"/>
    </row>
    <row r="180" spans="3:10" ht="16.5" customHeight="1">
      <c r="C180" s="2"/>
      <c r="D180" s="2"/>
      <c r="E180" s="2"/>
      <c r="F180" s="2"/>
      <c r="G180" s="2"/>
      <c r="I180" s="2"/>
      <c r="J180" s="2"/>
    </row>
    <row r="181" spans="3:10" ht="16.5" customHeight="1">
      <c r="C181" s="2"/>
      <c r="D181" s="2"/>
      <c r="E181" s="2"/>
      <c r="F181" s="2"/>
      <c r="G181" s="2"/>
      <c r="I181" s="2"/>
      <c r="J181" s="2"/>
    </row>
    <row r="182" spans="3:10" ht="16.5" customHeight="1">
      <c r="C182" s="2"/>
      <c r="D182" s="2"/>
      <c r="E182" s="2"/>
      <c r="F182" s="2"/>
      <c r="G182" s="2"/>
      <c r="I182" s="2"/>
      <c r="J182" s="2"/>
    </row>
    <row r="183" spans="3:10" ht="16.5" customHeight="1">
      <c r="C183" s="2"/>
      <c r="D183" s="2"/>
      <c r="E183" s="2"/>
      <c r="F183" s="2"/>
      <c r="G183" s="2"/>
      <c r="I183" s="2"/>
      <c r="J183" s="2"/>
    </row>
    <row r="184" spans="3:10" ht="16.5" customHeight="1">
      <c r="C184" s="2"/>
      <c r="D184" s="2"/>
      <c r="E184" s="2"/>
      <c r="F184" s="2"/>
      <c r="G184" s="2"/>
      <c r="I184" s="2"/>
      <c r="J184" s="2"/>
    </row>
    <row r="185" spans="3:10" ht="16.5" customHeight="1">
      <c r="C185" s="2"/>
      <c r="D185" s="2"/>
      <c r="E185" s="2"/>
      <c r="F185" s="2"/>
      <c r="G185" s="2"/>
      <c r="I185" s="2"/>
      <c r="J185" s="2"/>
    </row>
    <row r="186" spans="3:10" ht="16.5" customHeight="1">
      <c r="C186" s="2"/>
      <c r="D186" s="2"/>
      <c r="E186" s="2"/>
      <c r="F186" s="2"/>
      <c r="G186" s="2"/>
      <c r="I186" s="2"/>
      <c r="J186" s="2"/>
    </row>
    <row r="187" spans="3:10" ht="16.5" customHeight="1">
      <c r="C187" s="2"/>
      <c r="D187" s="2"/>
      <c r="E187" s="2"/>
      <c r="F187" s="2"/>
      <c r="G187" s="2"/>
      <c r="I187" s="2"/>
      <c r="J187" s="2"/>
    </row>
    <row r="188" spans="3:10" ht="16.5" customHeight="1">
      <c r="C188" s="2"/>
      <c r="D188" s="2"/>
      <c r="E188" s="2"/>
      <c r="F188" s="2"/>
      <c r="G188" s="2"/>
      <c r="I188" s="2"/>
      <c r="J188" s="2"/>
    </row>
    <row r="189" spans="3:10" ht="16.5" customHeight="1">
      <c r="C189" s="2"/>
      <c r="D189" s="2"/>
      <c r="E189" s="2"/>
      <c r="F189" s="2"/>
      <c r="G189" s="2"/>
      <c r="I189" s="2"/>
      <c r="J189" s="2"/>
    </row>
    <row r="190" spans="3:10" ht="16.5" customHeight="1">
      <c r="C190" s="2"/>
      <c r="D190" s="2"/>
      <c r="E190" s="2"/>
      <c r="F190" s="2"/>
      <c r="G190" s="2"/>
      <c r="I190" s="2"/>
      <c r="J190" s="2"/>
    </row>
    <row r="191" spans="3:10" ht="16.5" customHeight="1">
      <c r="C191" s="2"/>
      <c r="D191" s="2"/>
      <c r="E191" s="2"/>
      <c r="F191" s="2"/>
      <c r="G191" s="2"/>
      <c r="I191" s="2"/>
      <c r="J191" s="2"/>
    </row>
    <row r="192" spans="3:10" ht="16.5" customHeight="1">
      <c r="C192" s="2"/>
      <c r="D192" s="2"/>
      <c r="E192" s="2"/>
      <c r="F192" s="2"/>
      <c r="G192" s="2"/>
      <c r="I192" s="2"/>
      <c r="J192" s="2"/>
    </row>
    <row r="193" spans="3:10" ht="16.5" customHeight="1">
      <c r="C193" s="2"/>
      <c r="D193" s="2"/>
      <c r="E193" s="2"/>
      <c r="F193" s="2"/>
      <c r="G193" s="2"/>
      <c r="I193" s="2"/>
      <c r="J193" s="2"/>
    </row>
    <row r="194" spans="3:10" ht="16.5" customHeight="1">
      <c r="C194" s="2"/>
      <c r="D194" s="2"/>
      <c r="E194" s="2"/>
      <c r="F194" s="2"/>
      <c r="G194" s="2"/>
      <c r="I194" s="2"/>
      <c r="J194" s="2"/>
    </row>
    <row r="195" spans="3:10" ht="16.5" customHeight="1">
      <c r="C195" s="2"/>
      <c r="D195" s="2"/>
      <c r="E195" s="2"/>
      <c r="F195" s="2"/>
      <c r="G195" s="2"/>
      <c r="I195" s="2"/>
      <c r="J195" s="2"/>
    </row>
    <row r="196" spans="3:10" ht="16.5" customHeight="1">
      <c r="C196" s="2"/>
      <c r="D196" s="2"/>
      <c r="E196" s="2"/>
      <c r="F196" s="2"/>
      <c r="G196" s="2"/>
      <c r="I196" s="2"/>
      <c r="J196" s="2"/>
    </row>
    <row r="197" spans="3:10" ht="16.5" customHeight="1">
      <c r="C197" s="2"/>
      <c r="D197" s="2"/>
      <c r="E197" s="2"/>
      <c r="F197" s="2"/>
      <c r="G197" s="2"/>
      <c r="I197" s="2"/>
      <c r="J197" s="2"/>
    </row>
    <row r="198" spans="3:10" ht="16.5" customHeight="1">
      <c r="C198" s="2"/>
      <c r="D198" s="2"/>
      <c r="E198" s="2"/>
      <c r="F198" s="2"/>
      <c r="G198" s="2"/>
      <c r="I198" s="2"/>
      <c r="J198" s="2"/>
    </row>
    <row r="199" spans="3:10" ht="16.5" customHeight="1">
      <c r="C199" s="2"/>
      <c r="D199" s="2"/>
      <c r="E199" s="2"/>
      <c r="F199" s="2"/>
      <c r="G199" s="2"/>
      <c r="I199" s="2"/>
      <c r="J199" s="2"/>
    </row>
    <row r="200" spans="3:10" ht="16.5" customHeight="1">
      <c r="C200" s="2"/>
      <c r="D200" s="2"/>
      <c r="E200" s="2"/>
      <c r="F200" s="2"/>
      <c r="G200" s="2"/>
      <c r="I200" s="2"/>
      <c r="J200" s="2"/>
    </row>
    <row r="201" spans="3:10" ht="16.5" customHeight="1">
      <c r="C201" s="2"/>
      <c r="D201" s="2"/>
      <c r="E201" s="2"/>
      <c r="F201" s="2"/>
      <c r="G201" s="2"/>
      <c r="I201" s="2"/>
      <c r="J201" s="2"/>
    </row>
    <row r="202" spans="3:10" ht="16.5" customHeight="1">
      <c r="C202" s="2"/>
      <c r="D202" s="2"/>
      <c r="E202" s="2"/>
      <c r="F202" s="2"/>
      <c r="G202" s="2"/>
      <c r="I202" s="2"/>
      <c r="J202" s="2"/>
    </row>
    <row r="203" spans="3:10" ht="16.5" customHeight="1">
      <c r="C203" s="2"/>
      <c r="D203" s="2"/>
      <c r="E203" s="2"/>
      <c r="F203" s="2"/>
      <c r="G203" s="2"/>
      <c r="I203" s="2"/>
      <c r="J203" s="2"/>
    </row>
    <row r="204" spans="3:10" ht="16.5" customHeight="1">
      <c r="C204" s="2"/>
      <c r="D204" s="2"/>
      <c r="E204" s="2"/>
      <c r="F204" s="2"/>
      <c r="G204" s="2"/>
      <c r="I204" s="2"/>
      <c r="J204" s="2"/>
    </row>
    <row r="205" spans="3:10" ht="16.5" customHeight="1">
      <c r="C205" s="2"/>
      <c r="D205" s="2"/>
      <c r="E205" s="2"/>
      <c r="F205" s="2"/>
      <c r="G205" s="2"/>
      <c r="I205" s="2"/>
      <c r="J205" s="2"/>
    </row>
    <row r="206" spans="3:10" ht="16.5" customHeight="1">
      <c r="C206" s="2"/>
      <c r="D206" s="2"/>
      <c r="E206" s="2"/>
      <c r="F206" s="2"/>
      <c r="G206" s="2"/>
      <c r="I206" s="2"/>
      <c r="J206" s="2"/>
    </row>
    <row r="207" spans="3:10" ht="16.5" customHeight="1">
      <c r="C207" s="2"/>
      <c r="D207" s="2"/>
      <c r="E207" s="2"/>
      <c r="F207" s="2"/>
      <c r="G207" s="2"/>
      <c r="I207" s="2"/>
      <c r="J207" s="2"/>
    </row>
    <row r="208" spans="3:10" ht="16.5" customHeight="1">
      <c r="C208" s="2"/>
      <c r="D208" s="2"/>
      <c r="E208" s="2"/>
      <c r="F208" s="2"/>
      <c r="G208" s="2"/>
      <c r="I208" s="2"/>
      <c r="J208" s="2"/>
    </row>
    <row r="209" spans="3:10" ht="16.5" customHeight="1">
      <c r="C209" s="2"/>
      <c r="D209" s="2"/>
      <c r="E209" s="2"/>
      <c r="F209" s="2"/>
      <c r="G209" s="2"/>
      <c r="I209" s="2"/>
      <c r="J209" s="2"/>
    </row>
    <row r="210" spans="3:10" ht="16.5" customHeight="1">
      <c r="C210" s="2"/>
      <c r="D210" s="2"/>
      <c r="E210" s="2"/>
      <c r="F210" s="2"/>
      <c r="G210" s="2"/>
      <c r="I210" s="2"/>
      <c r="J210" s="2"/>
    </row>
    <row r="211" spans="3:10" ht="16.5" customHeight="1">
      <c r="C211" s="2"/>
      <c r="D211" s="2"/>
      <c r="E211" s="2"/>
      <c r="F211" s="2"/>
      <c r="G211" s="2"/>
      <c r="I211" s="2"/>
      <c r="J211" s="2"/>
    </row>
    <row r="212" spans="3:10" ht="16.5" customHeight="1">
      <c r="C212" s="2"/>
      <c r="D212" s="2"/>
      <c r="E212" s="2"/>
      <c r="F212" s="2"/>
      <c r="G212" s="2"/>
      <c r="I212" s="2"/>
      <c r="J212" s="2"/>
    </row>
    <row r="213" spans="3:10" ht="16.5" customHeight="1">
      <c r="C213" s="2"/>
      <c r="D213" s="2"/>
      <c r="E213" s="2"/>
      <c r="F213" s="2"/>
      <c r="G213" s="2"/>
      <c r="I213" s="2"/>
      <c r="J213" s="2"/>
    </row>
    <row r="214" spans="3:10" ht="16.5" customHeight="1">
      <c r="C214" s="2"/>
      <c r="D214" s="2"/>
      <c r="E214" s="2"/>
      <c r="F214" s="2"/>
      <c r="G214" s="2"/>
      <c r="I214" s="2"/>
      <c r="J214" s="2"/>
    </row>
    <row r="215" spans="3:10" ht="16.5" customHeight="1">
      <c r="C215" s="2"/>
      <c r="D215" s="2"/>
      <c r="E215" s="2"/>
      <c r="F215" s="2"/>
      <c r="G215" s="2"/>
      <c r="I215" s="2"/>
      <c r="J215" s="2"/>
    </row>
    <row r="216" spans="3:10" ht="16.5" customHeight="1">
      <c r="C216" s="2"/>
      <c r="D216" s="2"/>
      <c r="E216" s="2"/>
      <c r="F216" s="2"/>
      <c r="G216" s="2"/>
      <c r="I216" s="2"/>
      <c r="J216" s="2"/>
    </row>
    <row r="217" spans="3:10" ht="16.5" customHeight="1">
      <c r="C217" s="2"/>
      <c r="D217" s="2"/>
      <c r="E217" s="2"/>
      <c r="F217" s="2"/>
      <c r="G217" s="2"/>
      <c r="I217" s="2"/>
      <c r="J217" s="2"/>
    </row>
    <row r="218" spans="3:10" ht="16.5" customHeight="1">
      <c r="C218" s="2"/>
      <c r="D218" s="2"/>
      <c r="E218" s="2"/>
      <c r="F218" s="2"/>
      <c r="G218" s="2"/>
      <c r="I218" s="2"/>
      <c r="J218" s="2"/>
    </row>
    <row r="219" spans="3:10" ht="16.5" customHeight="1">
      <c r="C219" s="2"/>
      <c r="D219" s="2"/>
      <c r="E219" s="2"/>
      <c r="F219" s="2"/>
      <c r="G219" s="2"/>
      <c r="I219" s="2"/>
      <c r="J219" s="2"/>
    </row>
    <row r="220" spans="3:10" ht="16.5" customHeight="1">
      <c r="C220" s="2"/>
      <c r="D220" s="2"/>
      <c r="E220" s="2"/>
      <c r="F220" s="2"/>
      <c r="G220" s="2"/>
      <c r="I220" s="2"/>
      <c r="J220" s="2"/>
    </row>
    <row r="221" spans="3:10" ht="16.5" customHeight="1">
      <c r="C221" s="2"/>
      <c r="D221" s="2"/>
      <c r="E221" s="2"/>
      <c r="F221" s="2"/>
      <c r="G221" s="2"/>
      <c r="I221" s="2"/>
      <c r="J221" s="2"/>
    </row>
    <row r="222" spans="3:10" ht="16.5" customHeight="1">
      <c r="C222" s="2"/>
      <c r="D222" s="2"/>
      <c r="E222" s="2"/>
      <c r="F222" s="2"/>
      <c r="G222" s="2"/>
      <c r="I222" s="2"/>
      <c r="J222" s="2"/>
    </row>
    <row r="223" spans="3:10" ht="16.5" customHeight="1">
      <c r="C223" s="2"/>
      <c r="D223" s="2"/>
      <c r="E223" s="2"/>
      <c r="F223" s="2"/>
      <c r="G223" s="2"/>
      <c r="I223" s="2"/>
      <c r="J223" s="2"/>
    </row>
    <row r="224" spans="3:10" ht="16.5" customHeight="1">
      <c r="C224" s="2"/>
      <c r="D224" s="2"/>
      <c r="E224" s="2"/>
      <c r="F224" s="2"/>
      <c r="G224" s="2"/>
      <c r="I224" s="2"/>
      <c r="J224" s="2"/>
    </row>
    <row r="225" spans="3:10" ht="16.5" customHeight="1">
      <c r="C225" s="2"/>
      <c r="D225" s="2"/>
      <c r="E225" s="2"/>
      <c r="F225" s="2"/>
      <c r="G225" s="2"/>
      <c r="I225" s="2"/>
      <c r="J225" s="2"/>
    </row>
    <row r="226" spans="3:10" ht="16.5" customHeight="1">
      <c r="C226" s="2"/>
      <c r="D226" s="2"/>
      <c r="E226" s="2"/>
      <c r="F226" s="2"/>
      <c r="G226" s="2"/>
      <c r="I226" s="2"/>
      <c r="J226" s="2"/>
    </row>
    <row r="227" spans="3:10" ht="16.5" customHeight="1">
      <c r="C227" s="2"/>
      <c r="D227" s="2"/>
      <c r="E227" s="2"/>
      <c r="F227" s="2"/>
      <c r="G227" s="2"/>
      <c r="I227" s="2"/>
      <c r="J227" s="2"/>
    </row>
    <row r="228" spans="3:10" ht="16.5" customHeight="1">
      <c r="C228" s="2"/>
      <c r="D228" s="2"/>
      <c r="E228" s="2"/>
      <c r="F228" s="2"/>
      <c r="G228" s="2"/>
      <c r="I228" s="2"/>
      <c r="J228" s="2"/>
    </row>
    <row r="229" spans="3:10" ht="16.5" customHeight="1">
      <c r="C229" s="2"/>
      <c r="D229" s="2"/>
      <c r="E229" s="2"/>
      <c r="F229" s="2"/>
      <c r="G229" s="2"/>
      <c r="I229" s="2"/>
      <c r="J229" s="2"/>
    </row>
    <row r="230" spans="3:10" ht="16.5" customHeight="1">
      <c r="C230" s="2"/>
      <c r="D230" s="2"/>
      <c r="E230" s="2"/>
      <c r="F230" s="2"/>
      <c r="G230" s="2"/>
      <c r="I230" s="2"/>
      <c r="J230" s="2"/>
    </row>
    <row r="231" spans="3:10" ht="16.5" customHeight="1">
      <c r="C231" s="2"/>
      <c r="D231" s="2"/>
      <c r="E231" s="2"/>
      <c r="F231" s="2"/>
      <c r="G231" s="2"/>
      <c r="I231" s="2"/>
      <c r="J231" s="2"/>
    </row>
    <row r="232" spans="3:10" ht="16.5" customHeight="1">
      <c r="C232" s="2"/>
      <c r="D232" s="2"/>
      <c r="E232" s="2"/>
      <c r="F232" s="2"/>
      <c r="G232" s="2"/>
      <c r="I232" s="2"/>
      <c r="J232" s="2"/>
    </row>
    <row r="233" spans="3:10" ht="16.5" customHeight="1">
      <c r="C233" s="2"/>
      <c r="D233" s="2"/>
      <c r="E233" s="2"/>
      <c r="F233" s="2"/>
      <c r="G233" s="2"/>
      <c r="I233" s="2"/>
      <c r="J233" s="2"/>
    </row>
    <row r="234" spans="3:10" ht="16.5" customHeight="1">
      <c r="C234" s="2"/>
      <c r="D234" s="2"/>
      <c r="E234" s="2"/>
      <c r="F234" s="2"/>
      <c r="G234" s="2"/>
      <c r="I234" s="2"/>
      <c r="J234" s="2"/>
    </row>
    <row r="235" spans="3:10" ht="16.5" customHeight="1">
      <c r="C235" s="2"/>
      <c r="D235" s="2"/>
      <c r="E235" s="2"/>
      <c r="F235" s="2"/>
      <c r="G235" s="2"/>
      <c r="I235" s="2"/>
      <c r="J235" s="2"/>
    </row>
    <row r="236" spans="3:10" ht="16.5" customHeight="1">
      <c r="C236" s="2"/>
      <c r="D236" s="2"/>
      <c r="E236" s="2"/>
      <c r="F236" s="2"/>
      <c r="G236" s="2"/>
      <c r="I236" s="2"/>
      <c r="J236" s="2"/>
    </row>
    <row r="237" spans="3:10" ht="16.5" customHeight="1">
      <c r="C237" s="2"/>
      <c r="D237" s="2"/>
      <c r="E237" s="2"/>
      <c r="F237" s="2"/>
      <c r="G237" s="2"/>
      <c r="I237" s="2"/>
      <c r="J237" s="2"/>
    </row>
    <row r="238" spans="3:10" ht="16.5" customHeight="1">
      <c r="C238" s="2"/>
      <c r="D238" s="2"/>
      <c r="E238" s="2"/>
      <c r="F238" s="2"/>
      <c r="G238" s="2"/>
      <c r="I238" s="2"/>
      <c r="J238" s="2"/>
    </row>
    <row r="239" spans="3:10" ht="16.5" customHeight="1">
      <c r="C239" s="2"/>
      <c r="D239" s="2"/>
      <c r="E239" s="2"/>
      <c r="F239" s="2"/>
      <c r="G239" s="2"/>
      <c r="I239" s="2"/>
      <c r="J239" s="2"/>
    </row>
    <row r="240" spans="3:10" ht="16.5" customHeight="1">
      <c r="C240" s="2"/>
      <c r="D240" s="2"/>
      <c r="E240" s="2"/>
      <c r="F240" s="2"/>
      <c r="G240" s="2"/>
      <c r="I240" s="2"/>
      <c r="J240" s="2"/>
    </row>
    <row r="241" spans="3:10" ht="16.5" customHeight="1">
      <c r="C241" s="2"/>
      <c r="D241" s="2"/>
      <c r="E241" s="2"/>
      <c r="F241" s="2"/>
      <c r="G241" s="2"/>
      <c r="I241" s="2"/>
      <c r="J241" s="2"/>
    </row>
    <row r="242" spans="3:10" ht="16.5" customHeight="1">
      <c r="C242" s="2"/>
      <c r="D242" s="2"/>
      <c r="E242" s="2"/>
      <c r="F242" s="2"/>
      <c r="G242" s="2"/>
      <c r="I242" s="2"/>
      <c r="J242" s="2"/>
    </row>
    <row r="243" spans="3:10" ht="16.5" customHeight="1">
      <c r="C243" s="2"/>
      <c r="D243" s="2"/>
      <c r="E243" s="2"/>
      <c r="F243" s="2"/>
      <c r="G243" s="2"/>
      <c r="I243" s="2"/>
      <c r="J243" s="2"/>
    </row>
    <row r="244" spans="3:10" ht="16.5" customHeight="1">
      <c r="C244" s="2"/>
      <c r="D244" s="2"/>
      <c r="E244" s="2"/>
      <c r="F244" s="2"/>
      <c r="G244" s="2"/>
      <c r="I244" s="2"/>
      <c r="J244" s="2"/>
    </row>
    <row r="245" spans="3:10" ht="16.5" customHeight="1">
      <c r="C245" s="2"/>
      <c r="D245" s="2"/>
      <c r="E245" s="2"/>
      <c r="F245" s="2"/>
      <c r="G245" s="2"/>
      <c r="I245" s="2"/>
      <c r="J245" s="2"/>
    </row>
    <row r="246" spans="3:10" ht="16.5" customHeight="1">
      <c r="C246" s="2"/>
      <c r="D246" s="2"/>
      <c r="E246" s="2"/>
      <c r="F246" s="2"/>
      <c r="G246" s="2"/>
      <c r="I246" s="2"/>
      <c r="J246" s="2"/>
    </row>
    <row r="247" spans="3:10" ht="16.5" customHeight="1">
      <c r="C247" s="2"/>
      <c r="D247" s="2"/>
      <c r="E247" s="2"/>
      <c r="F247" s="2"/>
      <c r="G247" s="2"/>
      <c r="I247" s="2"/>
      <c r="J247" s="2"/>
    </row>
    <row r="248" spans="3:10" ht="16.5" customHeight="1">
      <c r="C248" s="2"/>
      <c r="D248" s="2"/>
      <c r="E248" s="2"/>
      <c r="F248" s="2"/>
      <c r="G248" s="2"/>
      <c r="I248" s="2"/>
      <c r="J248" s="2"/>
    </row>
    <row r="249" spans="3:10" ht="16.5" customHeight="1">
      <c r="C249" s="2"/>
      <c r="D249" s="2"/>
      <c r="E249" s="2"/>
      <c r="F249" s="2"/>
      <c r="G249" s="2"/>
      <c r="I249" s="2"/>
      <c r="J249" s="2"/>
    </row>
    <row r="250" spans="3:10" ht="16.5" customHeight="1">
      <c r="C250" s="2"/>
      <c r="D250" s="2"/>
      <c r="E250" s="2"/>
      <c r="F250" s="2"/>
      <c r="G250" s="2"/>
      <c r="I250" s="2"/>
      <c r="J250" s="2"/>
    </row>
    <row r="251" spans="3:10" ht="16.5" customHeight="1">
      <c r="C251" s="2"/>
      <c r="D251" s="2"/>
      <c r="E251" s="2"/>
      <c r="F251" s="2"/>
      <c r="G251" s="2"/>
      <c r="I251" s="2"/>
      <c r="J251" s="2"/>
    </row>
    <row r="252" spans="3:10" ht="16.5" customHeight="1">
      <c r="C252" s="2"/>
      <c r="D252" s="2"/>
      <c r="E252" s="2"/>
      <c r="F252" s="2"/>
      <c r="G252" s="2"/>
      <c r="I252" s="2"/>
      <c r="J252" s="2"/>
    </row>
    <row r="253" spans="3:10" ht="16.5" customHeight="1">
      <c r="C253" s="2"/>
      <c r="D253" s="2"/>
      <c r="E253" s="2"/>
      <c r="F253" s="2"/>
      <c r="G253" s="2"/>
      <c r="I253" s="2"/>
      <c r="J253" s="2"/>
    </row>
    <row r="254" spans="3:10" ht="16.5" customHeight="1">
      <c r="C254" s="2"/>
      <c r="D254" s="2"/>
      <c r="E254" s="2"/>
      <c r="F254" s="2"/>
      <c r="G254" s="2"/>
      <c r="I254" s="2"/>
      <c r="J254" s="2"/>
    </row>
    <row r="255" spans="3:10" ht="16.5" customHeight="1">
      <c r="C255" s="2"/>
      <c r="D255" s="2"/>
      <c r="E255" s="2"/>
      <c r="F255" s="2"/>
      <c r="G255" s="2"/>
      <c r="I255" s="2"/>
      <c r="J255" s="2"/>
    </row>
    <row r="256" spans="3:10" ht="16.5" customHeight="1">
      <c r="C256" s="2"/>
      <c r="D256" s="2"/>
      <c r="E256" s="2"/>
      <c r="F256" s="2"/>
      <c r="G256" s="2"/>
      <c r="I256" s="2"/>
      <c r="J256" s="2"/>
    </row>
    <row r="257" spans="3:10" ht="16.5" customHeight="1">
      <c r="C257" s="2"/>
      <c r="D257" s="2"/>
      <c r="E257" s="2"/>
      <c r="F257" s="2"/>
      <c r="G257" s="2"/>
      <c r="I257" s="2"/>
      <c r="J257" s="2"/>
    </row>
    <row r="258" spans="3:10" ht="16.5" customHeight="1">
      <c r="C258" s="2"/>
      <c r="D258" s="2"/>
      <c r="E258" s="2"/>
      <c r="F258" s="2"/>
      <c r="G258" s="2"/>
      <c r="I258" s="2"/>
      <c r="J258" s="2"/>
    </row>
    <row r="259" spans="3:10" ht="16.5" customHeight="1">
      <c r="C259" s="2"/>
      <c r="D259" s="2"/>
      <c r="E259" s="2"/>
      <c r="F259" s="2"/>
      <c r="G259" s="2"/>
      <c r="I259" s="2"/>
      <c r="J259" s="2"/>
    </row>
    <row r="260" spans="3:10" ht="16.5" customHeight="1">
      <c r="C260" s="2"/>
      <c r="D260" s="2"/>
      <c r="E260" s="2"/>
      <c r="F260" s="2"/>
      <c r="G260" s="2"/>
      <c r="I260" s="2"/>
      <c r="J260" s="2"/>
    </row>
    <row r="261" spans="3:10" ht="16.5" customHeight="1">
      <c r="C261" s="2"/>
      <c r="D261" s="2"/>
      <c r="E261" s="2"/>
      <c r="F261" s="2"/>
      <c r="G261" s="2"/>
      <c r="I261" s="2"/>
      <c r="J261" s="2"/>
    </row>
    <row r="262" spans="3:10" ht="16.5" customHeight="1">
      <c r="C262" s="2"/>
      <c r="D262" s="2"/>
      <c r="E262" s="2"/>
      <c r="F262" s="2"/>
      <c r="G262" s="2"/>
      <c r="I262" s="2"/>
      <c r="J262" s="2"/>
    </row>
    <row r="263" spans="3:10" ht="16.5" customHeight="1">
      <c r="C263" s="2"/>
      <c r="D263" s="2"/>
      <c r="E263" s="2"/>
      <c r="F263" s="2"/>
      <c r="G263" s="2"/>
      <c r="I263" s="2"/>
      <c r="J263" s="2"/>
    </row>
    <row r="264" spans="3:10" ht="16.5" customHeight="1">
      <c r="C264" s="2"/>
      <c r="D264" s="2"/>
      <c r="E264" s="2"/>
      <c r="F264" s="2"/>
      <c r="G264" s="2"/>
      <c r="I264" s="2"/>
      <c r="J264" s="2"/>
    </row>
    <row r="265" spans="3:10" ht="16.5" customHeight="1">
      <c r="C265" s="2"/>
      <c r="D265" s="2"/>
      <c r="E265" s="2"/>
      <c r="F265" s="2"/>
      <c r="G265" s="2"/>
      <c r="I265" s="2"/>
      <c r="J265" s="2"/>
    </row>
    <row r="266" spans="3:10" ht="16.5" customHeight="1">
      <c r="C266" s="2"/>
      <c r="D266" s="2"/>
      <c r="E266" s="2"/>
      <c r="F266" s="2"/>
      <c r="G266" s="2"/>
      <c r="I266" s="2"/>
      <c r="J266" s="2"/>
    </row>
    <row r="267" spans="3:10" ht="16.5" customHeight="1">
      <c r="C267" s="2"/>
      <c r="D267" s="2"/>
      <c r="E267" s="2"/>
      <c r="F267" s="2"/>
      <c r="G267" s="2"/>
      <c r="I267" s="2"/>
      <c r="J267" s="2"/>
    </row>
    <row r="268" spans="3:10" ht="16.5" customHeight="1">
      <c r="C268" s="2"/>
      <c r="D268" s="2"/>
      <c r="E268" s="2"/>
      <c r="F268" s="2"/>
      <c r="G268" s="2"/>
      <c r="I268" s="2"/>
      <c r="J268" s="2"/>
    </row>
    <row r="269" spans="3:10" ht="16.5" customHeight="1">
      <c r="C269" s="2"/>
      <c r="D269" s="2"/>
      <c r="E269" s="2"/>
      <c r="F269" s="2"/>
      <c r="G269" s="2"/>
      <c r="I269" s="2"/>
      <c r="J269" s="2"/>
    </row>
    <row r="270" spans="3:10" ht="16.5" customHeight="1">
      <c r="C270" s="2"/>
      <c r="D270" s="2"/>
      <c r="E270" s="2"/>
      <c r="F270" s="2"/>
      <c r="G270" s="2"/>
      <c r="I270" s="2"/>
      <c r="J270" s="2"/>
    </row>
    <row r="271" spans="3:10" ht="16.5" customHeight="1">
      <c r="C271" s="2"/>
      <c r="D271" s="2"/>
      <c r="E271" s="2"/>
      <c r="F271" s="2"/>
      <c r="G271" s="2"/>
      <c r="I271" s="2"/>
      <c r="J271" s="2"/>
    </row>
    <row r="272" spans="3:10" ht="16.5" customHeight="1">
      <c r="C272" s="2"/>
      <c r="D272" s="2"/>
      <c r="E272" s="2"/>
      <c r="F272" s="2"/>
      <c r="G272" s="2"/>
      <c r="I272" s="2"/>
      <c r="J272" s="2"/>
    </row>
    <row r="273" spans="3:10" ht="16.5" customHeight="1">
      <c r="C273" s="2"/>
      <c r="D273" s="2"/>
      <c r="E273" s="2"/>
      <c r="F273" s="2"/>
      <c r="G273" s="2"/>
      <c r="I273" s="2"/>
      <c r="J273" s="2"/>
    </row>
    <row r="274" spans="3:10" ht="16.5" customHeight="1">
      <c r="C274" s="2"/>
      <c r="D274" s="2"/>
      <c r="E274" s="2"/>
      <c r="F274" s="2"/>
      <c r="G274" s="2"/>
      <c r="I274" s="2"/>
      <c r="J274" s="2"/>
    </row>
    <row r="275" spans="3:10" ht="16.5" customHeight="1">
      <c r="C275" s="2"/>
      <c r="D275" s="2"/>
      <c r="E275" s="2"/>
      <c r="F275" s="2"/>
      <c r="G275" s="2"/>
      <c r="I275" s="2"/>
      <c r="J275" s="2"/>
    </row>
    <row r="276" spans="3:10" ht="16.5" customHeight="1">
      <c r="C276" s="2"/>
      <c r="D276" s="2"/>
      <c r="E276" s="2"/>
      <c r="F276" s="2"/>
      <c r="G276" s="2"/>
      <c r="I276" s="2"/>
      <c r="J276" s="2"/>
    </row>
    <row r="277" spans="3:10" ht="16.5" customHeight="1">
      <c r="C277" s="2"/>
      <c r="D277" s="2"/>
      <c r="E277" s="2"/>
      <c r="F277" s="2"/>
      <c r="G277" s="2"/>
      <c r="I277" s="2"/>
      <c r="J277" s="2"/>
    </row>
    <row r="278" spans="3:10" ht="16.5" customHeight="1">
      <c r="C278" s="2"/>
      <c r="D278" s="2"/>
      <c r="E278" s="2"/>
      <c r="F278" s="2"/>
      <c r="G278" s="2"/>
      <c r="I278" s="2"/>
      <c r="J278" s="2"/>
    </row>
    <row r="279" spans="3:10" ht="16.5" customHeight="1">
      <c r="C279" s="2"/>
      <c r="D279" s="2"/>
      <c r="E279" s="2"/>
      <c r="F279" s="2"/>
      <c r="G279" s="2"/>
      <c r="I279" s="2"/>
      <c r="J279" s="2"/>
    </row>
    <row r="280" spans="3:10" ht="16.5" customHeight="1">
      <c r="C280" s="2"/>
      <c r="D280" s="2"/>
      <c r="E280" s="2"/>
      <c r="F280" s="2"/>
      <c r="G280" s="2"/>
      <c r="I280" s="2"/>
      <c r="J280" s="2"/>
    </row>
    <row r="281" spans="3:10" ht="16.5" customHeight="1">
      <c r="C281" s="2"/>
      <c r="D281" s="2"/>
      <c r="E281" s="2"/>
      <c r="F281" s="2"/>
      <c r="G281" s="2"/>
      <c r="I281" s="2"/>
      <c r="J281" s="2"/>
    </row>
    <row r="282" spans="3:10" ht="16.5" customHeight="1">
      <c r="C282" s="2"/>
      <c r="D282" s="2"/>
      <c r="E282" s="2"/>
      <c r="F282" s="2"/>
      <c r="G282" s="2"/>
      <c r="I282" s="2"/>
      <c r="J282" s="2"/>
    </row>
    <row r="283" spans="3:10" ht="16.5" customHeight="1">
      <c r="C283" s="2"/>
      <c r="D283" s="2"/>
      <c r="E283" s="2"/>
      <c r="F283" s="2"/>
      <c r="G283" s="2"/>
      <c r="I283" s="2"/>
      <c r="J283" s="2"/>
    </row>
    <row r="284" spans="3:10" ht="16.5" customHeight="1">
      <c r="C284" s="2"/>
      <c r="D284" s="2"/>
      <c r="E284" s="2"/>
      <c r="F284" s="2"/>
      <c r="G284" s="2"/>
      <c r="I284" s="2"/>
      <c r="J284" s="2"/>
    </row>
    <row r="285" spans="3:10" ht="16.5" customHeight="1">
      <c r="C285" s="2"/>
      <c r="D285" s="2"/>
      <c r="E285" s="2"/>
      <c r="F285" s="2"/>
      <c r="G285" s="2"/>
      <c r="I285" s="2"/>
      <c r="J285" s="2"/>
    </row>
    <row r="286" spans="3:10" ht="16.5" customHeight="1">
      <c r="C286" s="2"/>
      <c r="D286" s="2"/>
      <c r="E286" s="2"/>
      <c r="F286" s="2"/>
      <c r="G286" s="2"/>
      <c r="I286" s="2"/>
      <c r="J286" s="2"/>
    </row>
    <row r="287" spans="3:10" ht="16.5" customHeight="1">
      <c r="C287" s="2"/>
      <c r="D287" s="2"/>
      <c r="E287" s="2"/>
      <c r="F287" s="2"/>
      <c r="G287" s="2"/>
      <c r="I287" s="2"/>
      <c r="J287" s="2"/>
    </row>
    <row r="288" spans="3:10" ht="16.5" customHeight="1">
      <c r="C288" s="2"/>
      <c r="D288" s="2"/>
      <c r="E288" s="2"/>
      <c r="F288" s="2"/>
      <c r="G288" s="2"/>
      <c r="I288" s="2"/>
      <c r="J288" s="2"/>
    </row>
    <row r="289" spans="3:10" ht="16.5" customHeight="1">
      <c r="C289" s="2"/>
      <c r="D289" s="2"/>
      <c r="E289" s="2"/>
      <c r="F289" s="2"/>
      <c r="G289" s="2"/>
      <c r="I289" s="2"/>
      <c r="J289" s="2"/>
    </row>
    <row r="290" spans="3:10" ht="16.5" customHeight="1">
      <c r="C290" s="2"/>
      <c r="D290" s="2"/>
      <c r="E290" s="2"/>
      <c r="F290" s="2"/>
      <c r="G290" s="2"/>
      <c r="I290" s="2"/>
      <c r="J290" s="2"/>
    </row>
    <row r="291" spans="3:10" ht="16.5" customHeight="1">
      <c r="C291" s="2"/>
      <c r="D291" s="2"/>
      <c r="E291" s="2"/>
      <c r="F291" s="2"/>
      <c r="G291" s="2"/>
      <c r="I291" s="2"/>
      <c r="J291" s="2"/>
    </row>
    <row r="292" spans="3:10" ht="16.5" customHeight="1">
      <c r="C292" s="2"/>
      <c r="D292" s="2"/>
      <c r="E292" s="2"/>
      <c r="F292" s="2"/>
      <c r="G292" s="2"/>
      <c r="I292" s="2"/>
      <c r="J292" s="2"/>
    </row>
    <row r="293" spans="3:10" ht="16.5" customHeight="1">
      <c r="C293" s="2"/>
      <c r="D293" s="2"/>
      <c r="E293" s="2"/>
      <c r="F293" s="2"/>
      <c r="G293" s="2"/>
      <c r="I293" s="2"/>
      <c r="J293" s="2"/>
    </row>
    <row r="294" spans="3:10" ht="16.5" customHeight="1">
      <c r="C294" s="2"/>
      <c r="D294" s="2"/>
      <c r="E294" s="2"/>
      <c r="F294" s="2"/>
      <c r="G294" s="2"/>
      <c r="I294" s="2"/>
      <c r="J294" s="2"/>
    </row>
    <row r="295" spans="3:10" ht="16.5" customHeight="1">
      <c r="C295" s="2"/>
      <c r="D295" s="2"/>
      <c r="E295" s="2"/>
      <c r="F295" s="2"/>
      <c r="G295" s="2"/>
      <c r="I295" s="2"/>
      <c r="J295" s="2"/>
    </row>
    <row r="296" spans="3:10" ht="16.5" customHeight="1">
      <c r="C296" s="2"/>
      <c r="D296" s="2"/>
      <c r="E296" s="2"/>
      <c r="F296" s="2"/>
      <c r="G296" s="2"/>
      <c r="I296" s="2"/>
      <c r="J296" s="2"/>
    </row>
    <row r="297" spans="3:10" ht="16.5" customHeight="1">
      <c r="C297" s="2"/>
      <c r="D297" s="2"/>
      <c r="E297" s="2"/>
      <c r="F297" s="2"/>
      <c r="G297" s="2"/>
      <c r="I297" s="2"/>
      <c r="J297" s="2"/>
    </row>
    <row r="298" spans="3:10" ht="16.5" customHeight="1">
      <c r="C298" s="2"/>
      <c r="D298" s="2"/>
      <c r="E298" s="2"/>
      <c r="F298" s="2"/>
      <c r="G298" s="2"/>
      <c r="I298" s="2"/>
      <c r="J298" s="2"/>
    </row>
    <row r="299" spans="3:10" ht="16.5" customHeight="1">
      <c r="C299" s="2"/>
      <c r="D299" s="2"/>
      <c r="E299" s="2"/>
      <c r="F299" s="2"/>
      <c r="G299" s="2"/>
      <c r="I299" s="2"/>
      <c r="J299" s="2"/>
    </row>
    <row r="300" spans="3:10" ht="16.5" customHeight="1">
      <c r="C300" s="2"/>
      <c r="D300" s="2"/>
      <c r="E300" s="2"/>
      <c r="F300" s="2"/>
      <c r="G300" s="2"/>
      <c r="I300" s="2"/>
      <c r="J300" s="2"/>
    </row>
    <row r="301" spans="3:10" ht="16.5" customHeight="1">
      <c r="C301" s="2"/>
      <c r="D301" s="2"/>
      <c r="E301" s="2"/>
      <c r="F301" s="2"/>
      <c r="G301" s="2"/>
      <c r="I301" s="2"/>
      <c r="J301" s="2"/>
    </row>
    <row r="302" spans="3:10" ht="16.5" customHeight="1">
      <c r="C302" s="2"/>
      <c r="D302" s="2"/>
      <c r="E302" s="2"/>
      <c r="F302" s="2"/>
      <c r="G302" s="2"/>
      <c r="I302" s="2"/>
      <c r="J302" s="2"/>
    </row>
    <row r="303" spans="3:10" ht="16.5" customHeight="1">
      <c r="C303" s="2"/>
      <c r="D303" s="2"/>
      <c r="E303" s="2"/>
      <c r="F303" s="2"/>
      <c r="G303" s="2"/>
      <c r="I303" s="2"/>
      <c r="J303" s="2"/>
    </row>
    <row r="304" spans="3:10" ht="16.5" customHeight="1">
      <c r="C304" s="2"/>
      <c r="D304" s="2"/>
      <c r="E304" s="2"/>
      <c r="F304" s="2"/>
      <c r="G304" s="2"/>
      <c r="I304" s="2"/>
      <c r="J304" s="2"/>
    </row>
    <row r="305" spans="3:10" ht="16.5" customHeight="1">
      <c r="C305" s="2"/>
      <c r="D305" s="2"/>
      <c r="E305" s="2"/>
      <c r="F305" s="2"/>
      <c r="G305" s="2"/>
      <c r="I305" s="2"/>
      <c r="J305" s="2"/>
    </row>
    <row r="306" spans="3:10" ht="16.5" customHeight="1">
      <c r="C306" s="2"/>
      <c r="D306" s="2"/>
      <c r="E306" s="2"/>
      <c r="F306" s="2"/>
      <c r="G306" s="2"/>
      <c r="I306" s="2"/>
      <c r="J306" s="2"/>
    </row>
    <row r="307" spans="3:10" ht="16.5" customHeight="1">
      <c r="C307" s="2"/>
      <c r="D307" s="2"/>
      <c r="E307" s="2"/>
      <c r="F307" s="2"/>
      <c r="G307" s="2"/>
      <c r="I307" s="2"/>
      <c r="J307" s="2"/>
    </row>
    <row r="308" spans="3:10" ht="16.5" customHeight="1">
      <c r="C308" s="2"/>
      <c r="D308" s="2"/>
      <c r="E308" s="2"/>
      <c r="F308" s="2"/>
      <c r="G308" s="2"/>
      <c r="I308" s="2"/>
      <c r="J308" s="2"/>
    </row>
    <row r="309" spans="3:10" ht="16.5" customHeight="1">
      <c r="C309" s="2"/>
      <c r="D309" s="2"/>
      <c r="E309" s="2"/>
      <c r="F309" s="2"/>
      <c r="G309" s="2"/>
      <c r="I309" s="2"/>
      <c r="J309" s="2"/>
    </row>
    <row r="310" spans="3:10" ht="16.5" customHeight="1">
      <c r="C310" s="2"/>
      <c r="D310" s="2"/>
      <c r="E310" s="2"/>
      <c r="F310" s="2"/>
      <c r="G310" s="2"/>
      <c r="I310" s="2"/>
      <c r="J310" s="2"/>
    </row>
    <row r="311" spans="3:10" ht="16.5" customHeight="1">
      <c r="C311" s="2"/>
      <c r="D311" s="2"/>
      <c r="E311" s="2"/>
      <c r="F311" s="2"/>
      <c r="G311" s="2"/>
      <c r="I311" s="2"/>
      <c r="J311" s="2"/>
    </row>
    <row r="312" spans="3:10" ht="16.5" customHeight="1">
      <c r="C312" s="2"/>
      <c r="D312" s="2"/>
      <c r="E312" s="2"/>
      <c r="F312" s="2"/>
      <c r="G312" s="2"/>
      <c r="I312" s="2"/>
      <c r="J312" s="2"/>
    </row>
    <row r="313" spans="3:10" ht="16.5" customHeight="1">
      <c r="C313" s="2"/>
      <c r="D313" s="2"/>
      <c r="E313" s="2"/>
      <c r="F313" s="2"/>
      <c r="G313" s="2"/>
      <c r="I313" s="2"/>
      <c r="J313" s="2"/>
    </row>
    <row r="314" spans="3:10" ht="16.5" customHeight="1">
      <c r="C314" s="2"/>
      <c r="D314" s="2"/>
      <c r="E314" s="2"/>
      <c r="F314" s="2"/>
      <c r="G314" s="2"/>
      <c r="I314" s="2"/>
      <c r="J314" s="2"/>
    </row>
    <row r="315" spans="3:10" ht="16.5" customHeight="1">
      <c r="C315" s="2"/>
      <c r="D315" s="2"/>
      <c r="E315" s="2"/>
      <c r="F315" s="2"/>
      <c r="G315" s="2"/>
      <c r="I315" s="2"/>
      <c r="J315" s="2"/>
    </row>
    <row r="316" spans="3:10" ht="16.5" customHeight="1">
      <c r="C316" s="2"/>
      <c r="D316" s="2"/>
      <c r="E316" s="2"/>
      <c r="F316" s="2"/>
      <c r="G316" s="2"/>
      <c r="I316" s="2"/>
      <c r="J316" s="2"/>
    </row>
    <row r="317" spans="3:10" ht="16.5" customHeight="1">
      <c r="C317" s="2"/>
      <c r="D317" s="2"/>
      <c r="E317" s="2"/>
      <c r="F317" s="2"/>
      <c r="G317" s="2"/>
      <c r="I317" s="2"/>
      <c r="J317" s="2"/>
    </row>
    <row r="318" spans="3:10" ht="16.5" customHeight="1">
      <c r="C318" s="2"/>
      <c r="D318" s="2"/>
      <c r="E318" s="2"/>
      <c r="F318" s="2"/>
      <c r="G318" s="2"/>
      <c r="I318" s="2"/>
      <c r="J318" s="2"/>
    </row>
    <row r="319" spans="3:10" ht="16.5" customHeight="1">
      <c r="C319" s="2"/>
      <c r="D319" s="2"/>
      <c r="E319" s="2"/>
      <c r="F319" s="2"/>
      <c r="G319" s="2"/>
      <c r="I319" s="2"/>
      <c r="J319" s="2"/>
    </row>
    <row r="320" spans="3:10" ht="16.5" customHeight="1">
      <c r="C320" s="2"/>
      <c r="D320" s="2"/>
      <c r="E320" s="2"/>
      <c r="F320" s="2"/>
      <c r="G320" s="2"/>
      <c r="I320" s="2"/>
      <c r="J320" s="2"/>
    </row>
    <row r="321" spans="3:10" ht="16.5" customHeight="1">
      <c r="C321" s="2"/>
      <c r="D321" s="2"/>
      <c r="E321" s="2"/>
      <c r="F321" s="2"/>
      <c r="G321" s="2"/>
      <c r="I321" s="2"/>
      <c r="J321" s="2"/>
    </row>
    <row r="322" spans="3:10" ht="16.5" customHeight="1">
      <c r="C322" s="2"/>
      <c r="D322" s="2"/>
      <c r="E322" s="2"/>
      <c r="F322" s="2"/>
      <c r="G322" s="2"/>
      <c r="I322" s="2"/>
      <c r="J322" s="2"/>
    </row>
    <row r="323" spans="3:10" ht="16.5" customHeight="1">
      <c r="C323" s="2"/>
      <c r="D323" s="2"/>
      <c r="E323" s="2"/>
      <c r="F323" s="2"/>
      <c r="G323" s="2"/>
      <c r="I323" s="2"/>
      <c r="J323" s="2"/>
    </row>
    <row r="324" spans="3:10" ht="16.5" customHeight="1">
      <c r="C324" s="2"/>
      <c r="D324" s="2"/>
      <c r="E324" s="2"/>
      <c r="F324" s="2"/>
      <c r="G324" s="2"/>
      <c r="I324" s="2"/>
      <c r="J324" s="2"/>
    </row>
    <row r="325" spans="3:10" ht="16.5" customHeight="1">
      <c r="C325" s="2"/>
      <c r="D325" s="2"/>
      <c r="E325" s="2"/>
      <c r="F325" s="2"/>
      <c r="G325" s="2"/>
      <c r="I325" s="2"/>
      <c r="J325" s="2"/>
    </row>
    <row r="326" spans="3:10" ht="16.5" customHeight="1">
      <c r="C326" s="2"/>
      <c r="D326" s="2"/>
      <c r="E326" s="2"/>
      <c r="F326" s="2"/>
      <c r="G326" s="2"/>
      <c r="I326" s="2"/>
      <c r="J326" s="2"/>
    </row>
    <row r="327" spans="3:10" ht="16.5" customHeight="1">
      <c r="C327" s="2"/>
      <c r="D327" s="2"/>
      <c r="E327" s="2"/>
      <c r="F327" s="2"/>
      <c r="G327" s="2"/>
      <c r="I327" s="2"/>
      <c r="J327" s="2"/>
    </row>
    <row r="328" spans="3:10" ht="16.5" customHeight="1">
      <c r="C328" s="2"/>
      <c r="D328" s="2"/>
      <c r="E328" s="2"/>
      <c r="F328" s="2"/>
      <c r="G328" s="2"/>
      <c r="I328" s="2"/>
      <c r="J328" s="2"/>
    </row>
    <row r="329" spans="3:10" ht="16.5" customHeight="1">
      <c r="C329" s="2"/>
      <c r="D329" s="2"/>
      <c r="E329" s="2"/>
      <c r="F329" s="2"/>
      <c r="G329" s="2"/>
      <c r="I329" s="2"/>
      <c r="J329" s="2"/>
    </row>
    <row r="330" spans="3:10" ht="16.5" customHeight="1">
      <c r="C330" s="2"/>
      <c r="D330" s="2"/>
      <c r="E330" s="2"/>
      <c r="F330" s="2"/>
      <c r="G330" s="2"/>
      <c r="I330" s="2"/>
      <c r="J330" s="2"/>
    </row>
    <row r="331" spans="3:10" ht="16.5" customHeight="1">
      <c r="C331" s="2"/>
      <c r="D331" s="2"/>
      <c r="E331" s="2"/>
      <c r="F331" s="2"/>
      <c r="G331" s="2"/>
      <c r="I331" s="2"/>
      <c r="J331" s="2"/>
    </row>
    <row r="332" spans="3:10" ht="16.5" customHeight="1">
      <c r="C332" s="2"/>
      <c r="D332" s="2"/>
      <c r="E332" s="2"/>
      <c r="F332" s="2"/>
      <c r="G332" s="2"/>
      <c r="I332" s="2"/>
      <c r="J332" s="2"/>
    </row>
    <row r="333" spans="3:10" ht="16.5" customHeight="1">
      <c r="C333" s="2"/>
      <c r="D333" s="2"/>
      <c r="E333" s="2"/>
      <c r="F333" s="2"/>
      <c r="G333" s="2"/>
      <c r="I333" s="2"/>
      <c r="J333" s="2"/>
    </row>
    <row r="334" spans="3:10" ht="16.5" customHeight="1">
      <c r="C334" s="2"/>
      <c r="D334" s="2"/>
      <c r="E334" s="2"/>
      <c r="F334" s="2"/>
      <c r="G334" s="2"/>
      <c r="I334" s="2"/>
      <c r="J334" s="2"/>
    </row>
    <row r="335" spans="3:10" ht="16.5" customHeight="1">
      <c r="C335" s="2"/>
      <c r="D335" s="2"/>
      <c r="E335" s="2"/>
      <c r="F335" s="2"/>
      <c r="G335" s="2"/>
      <c r="I335" s="2"/>
      <c r="J335" s="2"/>
    </row>
    <row r="336" spans="3:10" ht="16.5" customHeight="1">
      <c r="C336" s="2"/>
      <c r="D336" s="2"/>
      <c r="E336" s="2"/>
      <c r="F336" s="2"/>
      <c r="G336" s="2"/>
      <c r="I336" s="2"/>
      <c r="J336" s="2"/>
    </row>
    <row r="337" spans="3:10" ht="16.5" customHeight="1">
      <c r="C337" s="2"/>
      <c r="D337" s="2"/>
      <c r="E337" s="2"/>
      <c r="F337" s="2"/>
      <c r="G337" s="2"/>
      <c r="I337" s="2"/>
      <c r="J337" s="2"/>
    </row>
    <row r="338" spans="3:10" ht="16.5" customHeight="1">
      <c r="C338" s="2"/>
      <c r="D338" s="2"/>
      <c r="E338" s="2"/>
      <c r="F338" s="2"/>
      <c r="G338" s="2"/>
      <c r="I338" s="2"/>
      <c r="J338" s="2"/>
    </row>
    <row r="339" spans="3:10" ht="16.5" customHeight="1">
      <c r="C339" s="2"/>
      <c r="D339" s="2"/>
      <c r="E339" s="2"/>
      <c r="F339" s="2"/>
      <c r="G339" s="2"/>
      <c r="I339" s="2"/>
      <c r="J339" s="2"/>
    </row>
    <row r="340" spans="3:10" ht="16.5" customHeight="1">
      <c r="C340" s="2"/>
      <c r="D340" s="2"/>
      <c r="E340" s="2"/>
      <c r="F340" s="2"/>
      <c r="G340" s="2"/>
      <c r="I340" s="2"/>
      <c r="J340" s="2"/>
    </row>
    <row r="341" spans="3:10" ht="16.5" customHeight="1">
      <c r="C341" s="2"/>
      <c r="D341" s="2"/>
      <c r="E341" s="2"/>
      <c r="F341" s="2"/>
      <c r="G341" s="2"/>
      <c r="I341" s="2"/>
      <c r="J341" s="2"/>
    </row>
    <row r="342" spans="3:10" ht="16.5" customHeight="1">
      <c r="C342" s="2"/>
      <c r="D342" s="2"/>
      <c r="E342" s="2"/>
      <c r="F342" s="2"/>
      <c r="G342" s="2"/>
      <c r="I342" s="2"/>
      <c r="J342" s="2"/>
    </row>
    <row r="343" spans="3:10" ht="16.5" customHeight="1">
      <c r="C343" s="2"/>
      <c r="D343" s="2"/>
      <c r="E343" s="2"/>
      <c r="F343" s="2"/>
      <c r="G343" s="2"/>
      <c r="I343" s="2"/>
      <c r="J343" s="2"/>
    </row>
    <row r="344" spans="3:10" ht="16.5" customHeight="1">
      <c r="C344" s="2"/>
      <c r="D344" s="2"/>
      <c r="E344" s="2"/>
      <c r="F344" s="2"/>
      <c r="G344" s="2"/>
      <c r="I344" s="2"/>
      <c r="J344" s="2"/>
    </row>
    <row r="345" spans="3:10" ht="16.5" customHeight="1">
      <c r="C345" s="2"/>
      <c r="D345" s="2"/>
      <c r="E345" s="2"/>
      <c r="F345" s="2"/>
      <c r="G345" s="2"/>
      <c r="I345" s="2"/>
      <c r="J345" s="2"/>
    </row>
    <row r="346" spans="3:10" ht="16.5" customHeight="1">
      <c r="C346" s="2"/>
      <c r="D346" s="2"/>
      <c r="E346" s="2"/>
      <c r="F346" s="2"/>
      <c r="G346" s="2"/>
      <c r="I346" s="2"/>
      <c r="J346" s="2"/>
    </row>
    <row r="347" spans="3:10" ht="16.5" customHeight="1">
      <c r="C347" s="2"/>
      <c r="D347" s="2"/>
      <c r="E347" s="2"/>
      <c r="F347" s="2"/>
      <c r="G347" s="2"/>
      <c r="I347" s="2"/>
      <c r="J347" s="2"/>
    </row>
    <row r="348" spans="3:10" ht="16.5" customHeight="1">
      <c r="C348" s="2"/>
      <c r="D348" s="2"/>
      <c r="E348" s="2"/>
      <c r="F348" s="2"/>
      <c r="G348" s="2"/>
      <c r="I348" s="2"/>
      <c r="J348" s="2"/>
    </row>
    <row r="349" spans="3:10" ht="16.5" customHeight="1">
      <c r="C349" s="2"/>
      <c r="D349" s="2"/>
      <c r="E349" s="2"/>
      <c r="F349" s="2"/>
      <c r="G349" s="2"/>
      <c r="I349" s="2"/>
      <c r="J349" s="2"/>
    </row>
    <row r="350" spans="3:10" ht="16.5" customHeight="1">
      <c r="C350" s="2"/>
      <c r="D350" s="2"/>
      <c r="E350" s="2"/>
      <c r="F350" s="2"/>
      <c r="G350" s="2"/>
      <c r="I350" s="2"/>
      <c r="J350" s="2"/>
    </row>
    <row r="351" spans="3:10" ht="16.5" customHeight="1">
      <c r="C351" s="2"/>
      <c r="D351" s="2"/>
      <c r="E351" s="2"/>
      <c r="F351" s="2"/>
      <c r="G351" s="2"/>
      <c r="I351" s="2"/>
      <c r="J351" s="2"/>
    </row>
    <row r="352" spans="3:10" ht="16.5" customHeight="1">
      <c r="C352" s="2"/>
      <c r="D352" s="2"/>
      <c r="E352" s="2"/>
      <c r="F352" s="2"/>
      <c r="G352" s="2"/>
      <c r="I352" s="2"/>
      <c r="J352" s="2"/>
    </row>
    <row r="353" spans="3:10" ht="16.5" customHeight="1">
      <c r="C353" s="2"/>
      <c r="D353" s="2"/>
      <c r="E353" s="2"/>
      <c r="F353" s="2"/>
      <c r="G353" s="2"/>
      <c r="I353" s="2"/>
      <c r="J353" s="2"/>
    </row>
    <row r="354" spans="3:10" ht="16.5" customHeight="1">
      <c r="C354" s="2"/>
      <c r="D354" s="2"/>
      <c r="E354" s="2"/>
      <c r="F354" s="2"/>
      <c r="G354" s="2"/>
      <c r="I354" s="2"/>
      <c r="J354" s="2"/>
    </row>
    <row r="355" spans="3:10" ht="16.5" customHeight="1">
      <c r="C355" s="2"/>
      <c r="D355" s="2"/>
      <c r="E355" s="2"/>
      <c r="F355" s="2"/>
      <c r="G355" s="2"/>
      <c r="I355" s="2"/>
      <c r="J355" s="2"/>
    </row>
    <row r="356" spans="3:10" ht="16.5" customHeight="1">
      <c r="C356" s="2"/>
      <c r="D356" s="2"/>
      <c r="E356" s="2"/>
      <c r="F356" s="2"/>
      <c r="G356" s="2"/>
      <c r="I356" s="2"/>
      <c r="J356" s="2"/>
    </row>
    <row r="357" spans="3:10" ht="16.5" customHeight="1">
      <c r="C357" s="2"/>
      <c r="D357" s="2"/>
      <c r="E357" s="2"/>
      <c r="F357" s="2"/>
      <c r="G357" s="2"/>
      <c r="I357" s="2"/>
      <c r="J357" s="2"/>
    </row>
    <row r="358" spans="3:10" ht="16.5" customHeight="1">
      <c r="C358" s="2"/>
      <c r="D358" s="2"/>
      <c r="E358" s="2"/>
      <c r="F358" s="2"/>
      <c r="G358" s="2"/>
      <c r="I358" s="2"/>
      <c r="J358" s="2"/>
    </row>
    <row r="359" spans="3:10" ht="16.5" customHeight="1">
      <c r="C359" s="2"/>
      <c r="D359" s="2"/>
      <c r="E359" s="2"/>
      <c r="F359" s="2"/>
      <c r="G359" s="2"/>
      <c r="I359" s="2"/>
      <c r="J359" s="2"/>
    </row>
    <row r="360" spans="3:10" ht="16.5" customHeight="1">
      <c r="C360" s="2"/>
      <c r="D360" s="2"/>
      <c r="E360" s="2"/>
      <c r="F360" s="2"/>
      <c r="G360" s="2"/>
      <c r="I360" s="2"/>
      <c r="J360" s="2"/>
    </row>
    <row r="361" spans="3:10" ht="16.5" customHeight="1">
      <c r="C361" s="2"/>
      <c r="D361" s="2"/>
      <c r="E361" s="2"/>
      <c r="F361" s="2"/>
      <c r="G361" s="2"/>
      <c r="I361" s="2"/>
      <c r="J361" s="2"/>
    </row>
    <row r="362" spans="3:10" ht="16.5" customHeight="1">
      <c r="C362" s="2"/>
      <c r="D362" s="2"/>
      <c r="E362" s="2"/>
      <c r="F362" s="2"/>
      <c r="G362" s="2"/>
      <c r="I362" s="2"/>
      <c r="J362" s="2"/>
    </row>
    <row r="363" spans="3:10" ht="16.5" customHeight="1">
      <c r="C363" s="2"/>
      <c r="D363" s="2"/>
      <c r="E363" s="2"/>
      <c r="F363" s="2"/>
      <c r="G363" s="2"/>
      <c r="I363" s="2"/>
      <c r="J363" s="2"/>
    </row>
    <row r="364" spans="3:10" ht="16.5" customHeight="1">
      <c r="C364" s="2"/>
      <c r="D364" s="2"/>
      <c r="E364" s="2"/>
      <c r="F364" s="2"/>
      <c r="G364" s="2"/>
      <c r="I364" s="2"/>
      <c r="J364" s="2"/>
    </row>
    <row r="365" spans="3:10" ht="16.5" customHeight="1">
      <c r="C365" s="2"/>
      <c r="D365" s="2"/>
      <c r="E365" s="2"/>
      <c r="F365" s="2"/>
      <c r="G365" s="2"/>
      <c r="I365" s="2"/>
      <c r="J365" s="2"/>
    </row>
    <row r="366" spans="3:10" ht="16.5" customHeight="1">
      <c r="C366" s="2"/>
      <c r="D366" s="2"/>
      <c r="E366" s="2"/>
      <c r="F366" s="2"/>
      <c r="G366" s="2"/>
      <c r="I366" s="2"/>
      <c r="J366" s="2"/>
    </row>
    <row r="367" spans="3:10" ht="16.5" customHeight="1">
      <c r="C367" s="2"/>
      <c r="D367" s="2"/>
      <c r="E367" s="2"/>
      <c r="F367" s="2"/>
      <c r="G367" s="2"/>
      <c r="I367" s="2"/>
      <c r="J367" s="2"/>
    </row>
    <row r="368" spans="3:10" ht="16.5" customHeight="1">
      <c r="C368" s="2"/>
      <c r="D368" s="2"/>
      <c r="E368" s="2"/>
      <c r="F368" s="2"/>
      <c r="G368" s="2"/>
      <c r="I368" s="2"/>
      <c r="J368" s="2"/>
    </row>
    <row r="369" spans="3:10" ht="16.5" customHeight="1">
      <c r="C369" s="2"/>
      <c r="D369" s="2"/>
      <c r="E369" s="2"/>
      <c r="F369" s="2"/>
      <c r="G369" s="2"/>
      <c r="I369" s="2"/>
      <c r="J369" s="2"/>
    </row>
    <row r="370" spans="3:10" ht="16.5" customHeight="1">
      <c r="C370" s="2"/>
      <c r="D370" s="2"/>
      <c r="E370" s="2"/>
      <c r="F370" s="2"/>
      <c r="G370" s="2"/>
      <c r="I370" s="2"/>
      <c r="J370" s="2"/>
    </row>
    <row r="371" spans="3:10" ht="16.5" customHeight="1">
      <c r="C371" s="2"/>
      <c r="D371" s="2"/>
      <c r="E371" s="2"/>
      <c r="F371" s="2"/>
      <c r="G371" s="2"/>
      <c r="I371" s="2"/>
      <c r="J371" s="2"/>
    </row>
    <row r="372" spans="3:10" ht="16.5" customHeight="1">
      <c r="C372" s="2"/>
      <c r="D372" s="2"/>
      <c r="E372" s="2"/>
      <c r="F372" s="2"/>
      <c r="G372" s="2"/>
      <c r="I372" s="2"/>
      <c r="J372" s="2"/>
    </row>
    <row r="373" spans="3:10" ht="16.5" customHeight="1">
      <c r="C373" s="2"/>
      <c r="D373" s="2"/>
      <c r="E373" s="2"/>
      <c r="F373" s="2"/>
      <c r="G373" s="2"/>
      <c r="I373" s="2"/>
      <c r="J373" s="2"/>
    </row>
    <row r="374" spans="3:10" ht="16.5" customHeight="1">
      <c r="C374" s="2"/>
      <c r="D374" s="2"/>
      <c r="E374" s="2"/>
      <c r="F374" s="2"/>
      <c r="G374" s="2"/>
      <c r="I374" s="2"/>
      <c r="J374" s="2"/>
    </row>
    <row r="375" spans="3:10" ht="16.5" customHeight="1">
      <c r="C375" s="2"/>
      <c r="D375" s="2"/>
      <c r="E375" s="2"/>
      <c r="F375" s="2"/>
      <c r="G375" s="2"/>
      <c r="I375" s="2"/>
      <c r="J375" s="2"/>
    </row>
    <row r="376" spans="3:10" ht="16.5" customHeight="1">
      <c r="C376" s="2"/>
      <c r="D376" s="2"/>
      <c r="E376" s="2"/>
      <c r="F376" s="2"/>
      <c r="G376" s="2"/>
      <c r="I376" s="2"/>
      <c r="J376" s="2"/>
    </row>
    <row r="377" spans="3:10" ht="16.5" customHeight="1">
      <c r="C377" s="2"/>
      <c r="D377" s="2"/>
      <c r="E377" s="2"/>
      <c r="F377" s="2"/>
      <c r="G377" s="2"/>
      <c r="I377" s="2"/>
      <c r="J377" s="2"/>
    </row>
    <row r="378" spans="3:10" ht="16.5" customHeight="1">
      <c r="C378" s="2"/>
      <c r="D378" s="2"/>
      <c r="E378" s="2"/>
      <c r="F378" s="2"/>
      <c r="G378" s="2"/>
      <c r="I378" s="2"/>
      <c r="J378" s="2"/>
    </row>
    <row r="379" spans="3:10" ht="16.5" customHeight="1">
      <c r="C379" s="2"/>
      <c r="D379" s="2"/>
      <c r="E379" s="2"/>
      <c r="F379" s="2"/>
      <c r="G379" s="2"/>
      <c r="I379" s="2"/>
      <c r="J379" s="2"/>
    </row>
    <row r="380" spans="3:10" ht="16.5" customHeight="1">
      <c r="C380" s="2"/>
      <c r="D380" s="2"/>
      <c r="E380" s="2"/>
      <c r="F380" s="2"/>
      <c r="G380" s="2"/>
      <c r="I380" s="2"/>
      <c r="J380" s="2"/>
    </row>
    <row r="381" spans="3:10" ht="16.5" customHeight="1">
      <c r="C381" s="2"/>
      <c r="D381" s="2"/>
      <c r="E381" s="2"/>
      <c r="F381" s="2"/>
      <c r="G381" s="2"/>
      <c r="I381" s="2"/>
      <c r="J381" s="2"/>
    </row>
    <row r="382" spans="3:10" ht="16.5" customHeight="1">
      <c r="C382" s="2"/>
      <c r="D382" s="2"/>
      <c r="E382" s="2"/>
      <c r="F382" s="2"/>
      <c r="G382" s="2"/>
      <c r="I382" s="2"/>
      <c r="J382" s="2"/>
    </row>
    <row r="383" spans="3:10" ht="16.5" customHeight="1">
      <c r="C383" s="2"/>
      <c r="D383" s="2"/>
      <c r="E383" s="2"/>
      <c r="F383" s="2"/>
      <c r="G383" s="2"/>
      <c r="I383" s="2"/>
      <c r="J383" s="2"/>
    </row>
    <row r="384" spans="3:10" ht="16.5" customHeight="1">
      <c r="C384" s="2"/>
      <c r="D384" s="2"/>
      <c r="E384" s="2"/>
      <c r="F384" s="2"/>
      <c r="G384" s="2"/>
      <c r="I384" s="2"/>
      <c r="J384" s="2"/>
    </row>
    <row r="385" spans="3:10" ht="16.5" customHeight="1">
      <c r="C385" s="2"/>
      <c r="D385" s="2"/>
      <c r="E385" s="2"/>
      <c r="F385" s="2"/>
      <c r="G385" s="2"/>
      <c r="I385" s="2"/>
      <c r="J385" s="2"/>
    </row>
    <row r="386" spans="3:10" ht="16.5" customHeight="1">
      <c r="C386" s="2"/>
      <c r="D386" s="2"/>
      <c r="E386" s="2"/>
      <c r="F386" s="2"/>
      <c r="G386" s="2"/>
      <c r="I386" s="2"/>
      <c r="J386" s="2"/>
    </row>
    <row r="387" spans="3:10" ht="16.5" customHeight="1">
      <c r="C387" s="2"/>
      <c r="D387" s="2"/>
      <c r="E387" s="2"/>
      <c r="F387" s="2"/>
      <c r="G387" s="2"/>
      <c r="I387" s="2"/>
      <c r="J387" s="2"/>
    </row>
    <row r="388" spans="3:10" ht="16.5" customHeight="1">
      <c r="C388" s="2"/>
      <c r="D388" s="2"/>
      <c r="E388" s="2"/>
      <c r="F388" s="2"/>
      <c r="G388" s="2"/>
      <c r="I388" s="2"/>
      <c r="J388" s="2"/>
    </row>
    <row r="389" spans="3:10" ht="16.5" customHeight="1">
      <c r="C389" s="2"/>
      <c r="D389" s="2"/>
      <c r="E389" s="2"/>
      <c r="F389" s="2"/>
      <c r="G389" s="2"/>
      <c r="I389" s="2"/>
      <c r="J389" s="2"/>
    </row>
    <row r="390" spans="3:10" ht="16.5" customHeight="1">
      <c r="C390" s="2"/>
      <c r="D390" s="2"/>
      <c r="E390" s="2"/>
      <c r="F390" s="2"/>
      <c r="G390" s="2"/>
      <c r="I390" s="2"/>
      <c r="J390" s="2"/>
    </row>
    <row r="391" spans="3:10" ht="16.5" customHeight="1">
      <c r="C391" s="2"/>
      <c r="D391" s="2"/>
      <c r="E391" s="2"/>
      <c r="F391" s="2"/>
      <c r="G391" s="2"/>
      <c r="I391" s="2"/>
      <c r="J391" s="2"/>
    </row>
    <row r="392" spans="3:10" ht="16.5" customHeight="1">
      <c r="C392" s="2"/>
      <c r="D392" s="2"/>
      <c r="E392" s="2"/>
      <c r="F392" s="2"/>
      <c r="G392" s="2"/>
      <c r="I392" s="2"/>
      <c r="J392" s="2"/>
    </row>
    <row r="393" spans="3:10" ht="16.5" customHeight="1">
      <c r="C393" s="2"/>
      <c r="D393" s="2"/>
      <c r="E393" s="2"/>
      <c r="F393" s="2"/>
      <c r="G393" s="2"/>
      <c r="I393" s="2"/>
      <c r="J393" s="2"/>
    </row>
    <row r="394" spans="3:10" ht="16.5" customHeight="1">
      <c r="C394" s="2"/>
      <c r="D394" s="2"/>
      <c r="E394" s="2"/>
      <c r="F394" s="2"/>
      <c r="G394" s="2"/>
      <c r="I394" s="2"/>
      <c r="J394" s="2"/>
    </row>
    <row r="395" spans="3:10" ht="16.5" customHeight="1">
      <c r="C395" s="2"/>
      <c r="D395" s="2"/>
      <c r="E395" s="2"/>
      <c r="F395" s="2"/>
      <c r="G395" s="2"/>
      <c r="I395" s="2"/>
      <c r="J395" s="2"/>
    </row>
    <row r="396" spans="3:10" ht="16.5" customHeight="1">
      <c r="C396" s="2"/>
      <c r="D396" s="2"/>
      <c r="E396" s="2"/>
      <c r="F396" s="2"/>
      <c r="G396" s="2"/>
      <c r="I396" s="2"/>
      <c r="J396" s="2"/>
    </row>
    <row r="397" spans="3:10" ht="16.5" customHeight="1">
      <c r="C397" s="2"/>
      <c r="D397" s="2"/>
      <c r="E397" s="2"/>
      <c r="F397" s="2"/>
      <c r="G397" s="2"/>
      <c r="I397" s="2"/>
      <c r="J397" s="2"/>
    </row>
    <row r="398" spans="3:10" ht="16.5" customHeight="1">
      <c r="C398" s="2"/>
      <c r="D398" s="2"/>
      <c r="E398" s="2"/>
      <c r="F398" s="2"/>
      <c r="G398" s="2"/>
      <c r="I398" s="2"/>
      <c r="J398" s="2"/>
    </row>
    <row r="399" spans="3:10" ht="16.5" customHeight="1">
      <c r="C399" s="2"/>
      <c r="D399" s="2"/>
      <c r="E399" s="2"/>
      <c r="F399" s="2"/>
      <c r="G399" s="2"/>
      <c r="I399" s="2"/>
      <c r="J399" s="2"/>
    </row>
    <row r="400" spans="3:10" ht="16.5" customHeight="1">
      <c r="C400" s="2"/>
      <c r="D400" s="2"/>
      <c r="E400" s="2"/>
      <c r="F400" s="2"/>
      <c r="G400" s="2"/>
      <c r="I400" s="2"/>
      <c r="J400" s="2"/>
    </row>
    <row r="401" spans="3:10" ht="16.5" customHeight="1">
      <c r="C401" s="2"/>
      <c r="D401" s="2"/>
      <c r="E401" s="2"/>
      <c r="F401" s="2"/>
      <c r="G401" s="2"/>
      <c r="I401" s="2"/>
      <c r="J401" s="2"/>
    </row>
    <row r="402" spans="3:10" ht="16.5" customHeight="1">
      <c r="C402" s="2"/>
      <c r="D402" s="2"/>
      <c r="E402" s="2"/>
      <c r="F402" s="2"/>
      <c r="G402" s="2"/>
      <c r="I402" s="2"/>
      <c r="J402" s="2"/>
    </row>
    <row r="403" spans="3:10" ht="16.5" customHeight="1">
      <c r="C403" s="2"/>
      <c r="D403" s="2"/>
      <c r="E403" s="2"/>
      <c r="F403" s="2"/>
      <c r="G403" s="2"/>
      <c r="I403" s="2"/>
      <c r="J403" s="2"/>
    </row>
    <row r="404" spans="3:10" ht="16.5" customHeight="1">
      <c r="C404" s="2"/>
      <c r="D404" s="2"/>
      <c r="E404" s="2"/>
      <c r="F404" s="2"/>
      <c r="G404" s="2"/>
      <c r="I404" s="2"/>
      <c r="J404" s="2"/>
    </row>
    <row r="405" spans="3:10" ht="16.5" customHeight="1">
      <c r="C405" s="2"/>
      <c r="D405" s="2"/>
      <c r="E405" s="2"/>
      <c r="F405" s="2"/>
      <c r="G405" s="2"/>
      <c r="I405" s="2"/>
      <c r="J405" s="2"/>
    </row>
    <row r="406" spans="3:10" ht="16.5" customHeight="1">
      <c r="C406" s="2"/>
      <c r="D406" s="2"/>
      <c r="E406" s="2"/>
      <c r="F406" s="2"/>
      <c r="G406" s="2"/>
      <c r="I406" s="2"/>
      <c r="J406" s="2"/>
    </row>
    <row r="407" spans="3:10" ht="16.5" customHeight="1">
      <c r="C407" s="2"/>
      <c r="D407" s="2"/>
      <c r="E407" s="2"/>
      <c r="F407" s="2"/>
      <c r="G407" s="2"/>
      <c r="I407" s="2"/>
      <c r="J407" s="2"/>
    </row>
    <row r="408" spans="3:10" ht="16.5" customHeight="1">
      <c r="C408" s="2"/>
      <c r="D408" s="2"/>
      <c r="E408" s="2"/>
      <c r="F408" s="2"/>
      <c r="G408" s="2"/>
      <c r="I408" s="2"/>
      <c r="J408" s="2"/>
    </row>
    <row r="409" spans="3:10" ht="16.5" customHeight="1">
      <c r="C409" s="2"/>
      <c r="D409" s="2"/>
      <c r="E409" s="2"/>
      <c r="F409" s="2"/>
      <c r="G409" s="2"/>
      <c r="I409" s="2"/>
      <c r="J409" s="2"/>
    </row>
    <row r="410" spans="3:10" ht="16.5" customHeight="1">
      <c r="C410" s="2"/>
      <c r="D410" s="2"/>
      <c r="E410" s="2"/>
      <c r="F410" s="2"/>
      <c r="G410" s="2"/>
      <c r="I410" s="2"/>
      <c r="J410" s="2"/>
    </row>
    <row r="411" spans="3:10" ht="16.5" customHeight="1">
      <c r="C411" s="2"/>
      <c r="D411" s="2"/>
      <c r="E411" s="2"/>
      <c r="F411" s="2"/>
      <c r="G411" s="2"/>
      <c r="I411" s="2"/>
      <c r="J411" s="2"/>
    </row>
    <row r="412" spans="3:10" ht="16.5" customHeight="1">
      <c r="C412" s="2"/>
      <c r="D412" s="2"/>
      <c r="E412" s="2"/>
      <c r="F412" s="2"/>
      <c r="G412" s="2"/>
      <c r="I412" s="2"/>
      <c r="J412" s="2"/>
    </row>
    <row r="413" spans="3:10" ht="16.5" customHeight="1">
      <c r="C413" s="2"/>
      <c r="D413" s="2"/>
      <c r="E413" s="2"/>
      <c r="F413" s="2"/>
      <c r="G413" s="2"/>
      <c r="I413" s="2"/>
      <c r="J413" s="2"/>
    </row>
    <row r="414" spans="3:10" ht="16.5" customHeight="1">
      <c r="C414" s="2"/>
      <c r="D414" s="2"/>
      <c r="E414" s="2"/>
      <c r="F414" s="2"/>
      <c r="G414" s="2"/>
      <c r="I414" s="2"/>
      <c r="J414" s="2"/>
    </row>
    <row r="415" spans="3:10" ht="16.5" customHeight="1">
      <c r="C415" s="2"/>
      <c r="D415" s="2"/>
      <c r="E415" s="2"/>
      <c r="F415" s="2"/>
      <c r="G415" s="2"/>
      <c r="I415" s="2"/>
      <c r="J415" s="2"/>
    </row>
    <row r="416" spans="3:10" ht="16.5" customHeight="1">
      <c r="C416" s="2"/>
      <c r="D416" s="2"/>
      <c r="E416" s="2"/>
      <c r="F416" s="2"/>
      <c r="G416" s="2"/>
      <c r="I416" s="2"/>
      <c r="J416" s="2"/>
    </row>
    <row r="417" spans="3:10" ht="16.5" customHeight="1">
      <c r="C417" s="2"/>
      <c r="D417" s="2"/>
      <c r="E417" s="2"/>
      <c r="F417" s="2"/>
      <c r="G417" s="2"/>
      <c r="I417" s="2"/>
      <c r="J417" s="2"/>
    </row>
    <row r="418" spans="3:10" ht="16.5" customHeight="1">
      <c r="C418" s="2"/>
      <c r="D418" s="2"/>
      <c r="E418" s="2"/>
      <c r="F418" s="2"/>
      <c r="G418" s="2"/>
      <c r="I418" s="2"/>
      <c r="J418" s="2"/>
    </row>
    <row r="419" spans="3:10" ht="16.5" customHeight="1">
      <c r="C419" s="2"/>
      <c r="D419" s="2"/>
      <c r="E419" s="2"/>
      <c r="F419" s="2"/>
      <c r="G419" s="2"/>
      <c r="I419" s="2"/>
      <c r="J419" s="2"/>
    </row>
    <row r="420" spans="3:10" ht="16.5" customHeight="1">
      <c r="C420" s="2"/>
      <c r="D420" s="2"/>
      <c r="E420" s="2"/>
      <c r="F420" s="2"/>
      <c r="G420" s="2"/>
      <c r="I420" s="2"/>
      <c r="J420" s="2"/>
    </row>
    <row r="421" spans="3:10" ht="16.5" customHeight="1">
      <c r="C421" s="2"/>
      <c r="D421" s="2"/>
      <c r="E421" s="2"/>
      <c r="F421" s="2"/>
      <c r="G421" s="2"/>
      <c r="I421" s="2"/>
      <c r="J421" s="2"/>
    </row>
    <row r="422" spans="3:10" ht="16.5" customHeight="1">
      <c r="C422" s="2"/>
      <c r="D422" s="2"/>
      <c r="E422" s="2"/>
      <c r="F422" s="2"/>
      <c r="G422" s="2"/>
      <c r="I422" s="2"/>
      <c r="J422" s="2"/>
    </row>
    <row r="423" spans="3:10" ht="16.5" customHeight="1">
      <c r="C423" s="2"/>
      <c r="D423" s="2"/>
      <c r="E423" s="2"/>
      <c r="F423" s="2"/>
      <c r="G423" s="2"/>
      <c r="I423" s="2"/>
      <c r="J423" s="2"/>
    </row>
    <row r="424" spans="3:10" ht="16.5" customHeight="1">
      <c r="C424" s="2"/>
      <c r="D424" s="2"/>
      <c r="E424" s="2"/>
      <c r="F424" s="2"/>
      <c r="G424" s="2"/>
      <c r="I424" s="2"/>
      <c r="J424" s="2"/>
    </row>
    <row r="425" spans="3:10" ht="16.5" customHeight="1">
      <c r="C425" s="2"/>
      <c r="D425" s="2"/>
      <c r="E425" s="2"/>
      <c r="F425" s="2"/>
      <c r="G425" s="2"/>
      <c r="I425" s="2"/>
      <c r="J425" s="2"/>
    </row>
    <row r="426" spans="3:10" ht="16.5" customHeight="1">
      <c r="C426" s="2"/>
      <c r="D426" s="2"/>
      <c r="E426" s="2"/>
      <c r="F426" s="2"/>
      <c r="G426" s="2"/>
      <c r="I426" s="2"/>
      <c r="J426" s="2"/>
    </row>
    <row r="427" spans="3:10" ht="16.5" customHeight="1">
      <c r="C427" s="2"/>
      <c r="D427" s="2"/>
      <c r="E427" s="2"/>
      <c r="F427" s="2"/>
      <c r="G427" s="2"/>
      <c r="I427" s="2"/>
      <c r="J427" s="2"/>
    </row>
    <row r="428" spans="3:10" ht="16.5" customHeight="1">
      <c r="C428" s="2"/>
      <c r="D428" s="2"/>
      <c r="E428" s="2"/>
      <c r="F428" s="2"/>
      <c r="G428" s="2"/>
      <c r="I428" s="2"/>
      <c r="J428" s="2"/>
    </row>
    <row r="429" spans="3:10" ht="16.5" customHeight="1">
      <c r="C429" s="2"/>
      <c r="D429" s="2"/>
      <c r="E429" s="2"/>
      <c r="F429" s="2"/>
      <c r="G429" s="2"/>
      <c r="I429" s="2"/>
      <c r="J429" s="2"/>
    </row>
    <row r="430" spans="3:10" ht="16.5" customHeight="1">
      <c r="C430" s="2"/>
      <c r="D430" s="2"/>
      <c r="E430" s="2"/>
      <c r="F430" s="2"/>
      <c r="G430" s="2"/>
      <c r="I430" s="2"/>
      <c r="J430" s="2"/>
    </row>
    <row r="431" spans="3:10" ht="16.5" customHeight="1">
      <c r="C431" s="2"/>
      <c r="D431" s="2"/>
      <c r="E431" s="2"/>
      <c r="F431" s="2"/>
      <c r="G431" s="2"/>
      <c r="I431" s="2"/>
      <c r="J431" s="2"/>
    </row>
    <row r="432" spans="3:10" ht="16.5" customHeight="1">
      <c r="C432" s="2"/>
      <c r="D432" s="2"/>
      <c r="E432" s="2"/>
      <c r="F432" s="2"/>
      <c r="G432" s="2"/>
      <c r="I432" s="2"/>
      <c r="J432" s="2"/>
    </row>
    <row r="433" spans="3:10" ht="16.5" customHeight="1">
      <c r="C433" s="2"/>
      <c r="D433" s="2"/>
      <c r="E433" s="2"/>
      <c r="F433" s="2"/>
      <c r="G433" s="2"/>
      <c r="I433" s="2"/>
      <c r="J433" s="2"/>
    </row>
    <row r="434" spans="3:10" ht="16.5" customHeight="1">
      <c r="C434" s="2"/>
      <c r="D434" s="2"/>
      <c r="E434" s="2"/>
      <c r="F434" s="2"/>
      <c r="G434" s="2"/>
      <c r="I434" s="2"/>
      <c r="J434" s="2"/>
    </row>
    <row r="435" spans="3:10" ht="16.5" customHeight="1">
      <c r="C435" s="2"/>
      <c r="D435" s="2"/>
      <c r="E435" s="2"/>
      <c r="F435" s="2"/>
      <c r="G435" s="2"/>
      <c r="I435" s="2"/>
      <c r="J435" s="2"/>
    </row>
    <row r="436" spans="3:10" ht="16.5" customHeight="1">
      <c r="C436" s="2"/>
      <c r="D436" s="2"/>
      <c r="E436" s="2"/>
      <c r="F436" s="2"/>
      <c r="G436" s="2"/>
      <c r="I436" s="2"/>
      <c r="J436" s="2"/>
    </row>
    <row r="437" spans="3:10" ht="16.5" customHeight="1">
      <c r="C437" s="2"/>
      <c r="D437" s="2"/>
      <c r="E437" s="2"/>
      <c r="F437" s="2"/>
      <c r="G437" s="2"/>
      <c r="I437" s="2"/>
      <c r="J437" s="2"/>
    </row>
    <row r="438" spans="3:10" ht="16.5" customHeight="1">
      <c r="C438" s="2"/>
      <c r="D438" s="2"/>
      <c r="E438" s="2"/>
      <c r="F438" s="2"/>
      <c r="G438" s="2"/>
      <c r="I438" s="2"/>
      <c r="J438" s="2"/>
    </row>
    <row r="439" spans="3:10" ht="16.5" customHeight="1">
      <c r="C439" s="2"/>
      <c r="D439" s="2"/>
      <c r="E439" s="2"/>
      <c r="F439" s="2"/>
      <c r="G439" s="2"/>
      <c r="I439" s="2"/>
      <c r="J439" s="2"/>
    </row>
    <row r="440" spans="3:10" ht="16.5" customHeight="1">
      <c r="C440" s="2"/>
      <c r="D440" s="2"/>
      <c r="E440" s="2"/>
      <c r="F440" s="2"/>
      <c r="G440" s="2"/>
      <c r="I440" s="2"/>
      <c r="J440" s="2"/>
    </row>
    <row r="441" spans="3:10" ht="16.5" customHeight="1">
      <c r="C441" s="2"/>
      <c r="D441" s="2"/>
      <c r="E441" s="2"/>
      <c r="F441" s="2"/>
      <c r="G441" s="2"/>
      <c r="I441" s="2"/>
      <c r="J441" s="2"/>
    </row>
    <row r="442" spans="3:10" ht="16.5" customHeight="1">
      <c r="C442" s="2"/>
      <c r="D442" s="2"/>
      <c r="E442" s="2"/>
      <c r="F442" s="2"/>
      <c r="G442" s="2"/>
      <c r="I442" s="2"/>
      <c r="J442" s="2"/>
    </row>
    <row r="443" spans="3:10" ht="16.5" customHeight="1">
      <c r="C443" s="2"/>
      <c r="D443" s="2"/>
      <c r="E443" s="2"/>
      <c r="F443" s="2"/>
      <c r="G443" s="2"/>
      <c r="I443" s="2"/>
      <c r="J443" s="2"/>
    </row>
    <row r="444" spans="3:10" ht="16.5" customHeight="1">
      <c r="C444" s="2"/>
      <c r="D444" s="2"/>
      <c r="E444" s="2"/>
      <c r="F444" s="2"/>
      <c r="G444" s="2"/>
      <c r="I444" s="2"/>
      <c r="J444" s="2"/>
    </row>
    <row r="445" spans="3:10" ht="16.5" customHeight="1">
      <c r="C445" s="2"/>
      <c r="D445" s="2"/>
      <c r="E445" s="2"/>
      <c r="F445" s="2"/>
      <c r="G445" s="2"/>
      <c r="I445" s="2"/>
      <c r="J445" s="2"/>
    </row>
    <row r="446" spans="3:10" ht="16.5" customHeight="1">
      <c r="C446" s="2"/>
      <c r="D446" s="2"/>
      <c r="E446" s="2"/>
      <c r="F446" s="2"/>
      <c r="G446" s="2"/>
      <c r="I446" s="2"/>
      <c r="J446" s="2"/>
    </row>
    <row r="447" spans="3:10" ht="16.5" customHeight="1">
      <c r="C447" s="2"/>
      <c r="D447" s="2"/>
      <c r="E447" s="2"/>
      <c r="F447" s="2"/>
      <c r="G447" s="2"/>
      <c r="I447" s="2"/>
      <c r="J447" s="2"/>
    </row>
    <row r="448" spans="3:10" ht="16.5" customHeight="1">
      <c r="C448" s="2"/>
      <c r="D448" s="2"/>
      <c r="E448" s="2"/>
      <c r="F448" s="2"/>
      <c r="G448" s="2"/>
      <c r="I448" s="2"/>
      <c r="J448" s="2"/>
    </row>
    <row r="449" spans="3:10" ht="16.5" customHeight="1">
      <c r="C449" s="2"/>
      <c r="D449" s="2"/>
      <c r="E449" s="2"/>
      <c r="F449" s="2"/>
      <c r="G449" s="2"/>
      <c r="I449" s="2"/>
      <c r="J449" s="2"/>
    </row>
    <row r="450" spans="3:10" ht="16.5" customHeight="1">
      <c r="C450" s="2"/>
      <c r="D450" s="2"/>
      <c r="E450" s="2"/>
      <c r="F450" s="2"/>
      <c r="G450" s="2"/>
      <c r="I450" s="2"/>
      <c r="J450" s="2"/>
    </row>
    <row r="451" spans="3:10" ht="16.5" customHeight="1">
      <c r="C451" s="2"/>
      <c r="D451" s="2"/>
      <c r="E451" s="2"/>
      <c r="F451" s="2"/>
      <c r="G451" s="2"/>
      <c r="I451" s="2"/>
      <c r="J451" s="2"/>
    </row>
    <row r="452" spans="3:10" ht="16.5" customHeight="1">
      <c r="C452" s="2"/>
      <c r="D452" s="2"/>
      <c r="E452" s="2"/>
      <c r="F452" s="2"/>
      <c r="G452" s="2"/>
      <c r="I452" s="2"/>
      <c r="J452" s="2"/>
    </row>
    <row r="453" spans="3:10" ht="16.5" customHeight="1">
      <c r="C453" s="2"/>
      <c r="D453" s="2"/>
      <c r="E453" s="2"/>
      <c r="F453" s="2"/>
      <c r="G453" s="2"/>
      <c r="I453" s="2"/>
      <c r="J453" s="2"/>
    </row>
    <row r="454" spans="3:10" ht="16.5" customHeight="1">
      <c r="C454" s="2"/>
      <c r="D454" s="2"/>
      <c r="E454" s="2"/>
      <c r="F454" s="2"/>
      <c r="G454" s="2"/>
      <c r="I454" s="2"/>
      <c r="J454" s="2"/>
    </row>
    <row r="455" spans="3:10" ht="16.5" customHeight="1">
      <c r="C455" s="2"/>
      <c r="D455" s="2"/>
      <c r="E455" s="2"/>
      <c r="F455" s="2"/>
      <c r="G455" s="2"/>
      <c r="I455" s="2"/>
      <c r="J455" s="2"/>
    </row>
    <row r="456" spans="3:10" ht="16.5" customHeight="1">
      <c r="C456" s="2"/>
      <c r="D456" s="2"/>
      <c r="E456" s="2"/>
      <c r="F456" s="2"/>
      <c r="G456" s="2"/>
      <c r="I456" s="2"/>
      <c r="J456" s="2"/>
    </row>
    <row r="457" spans="3:10" ht="16.5" customHeight="1">
      <c r="C457" s="2"/>
      <c r="D457" s="2"/>
      <c r="E457" s="2"/>
      <c r="F457" s="2"/>
      <c r="G457" s="2"/>
      <c r="I457" s="2"/>
      <c r="J457" s="2"/>
    </row>
    <row r="458" spans="3:10" ht="16.5" customHeight="1">
      <c r="C458" s="2"/>
      <c r="D458" s="2"/>
      <c r="E458" s="2"/>
      <c r="F458" s="2"/>
      <c r="G458" s="2"/>
      <c r="I458" s="2"/>
      <c r="J458" s="2"/>
    </row>
    <row r="459" spans="3:10" ht="16.5" customHeight="1">
      <c r="C459" s="2"/>
      <c r="D459" s="2"/>
      <c r="E459" s="2"/>
      <c r="F459" s="2"/>
      <c r="G459" s="2"/>
      <c r="I459" s="2"/>
      <c r="J459" s="2"/>
    </row>
    <row r="460" spans="3:10" ht="16.5" customHeight="1">
      <c r="C460" s="2"/>
      <c r="D460" s="2"/>
      <c r="E460" s="2"/>
      <c r="F460" s="2"/>
      <c r="G460" s="2"/>
      <c r="I460" s="2"/>
      <c r="J460" s="2"/>
    </row>
    <row r="461" spans="3:10" ht="16.5" customHeight="1">
      <c r="C461" s="2"/>
      <c r="D461" s="2"/>
      <c r="E461" s="2"/>
      <c r="F461" s="2"/>
      <c r="G461" s="2"/>
      <c r="I461" s="2"/>
      <c r="J461" s="2"/>
    </row>
    <row r="462" spans="3:10" ht="16.5" customHeight="1">
      <c r="C462" s="2"/>
      <c r="D462" s="2"/>
      <c r="E462" s="2"/>
      <c r="F462" s="2"/>
      <c r="G462" s="2"/>
      <c r="I462" s="2"/>
      <c r="J462" s="2"/>
    </row>
    <row r="463" spans="3:10" ht="16.5" customHeight="1">
      <c r="C463" s="2"/>
      <c r="D463" s="2"/>
      <c r="E463" s="2"/>
      <c r="F463" s="2"/>
      <c r="G463" s="2"/>
      <c r="I463" s="2"/>
      <c r="J463" s="2"/>
    </row>
    <row r="464" spans="3:10" ht="16.5" customHeight="1">
      <c r="C464" s="2"/>
      <c r="D464" s="2"/>
      <c r="E464" s="2"/>
      <c r="F464" s="2"/>
      <c r="G464" s="2"/>
      <c r="I464" s="2"/>
      <c r="J464" s="2"/>
    </row>
    <row r="465" spans="3:10" ht="16.5" customHeight="1">
      <c r="C465" s="2"/>
      <c r="D465" s="2"/>
      <c r="E465" s="2"/>
      <c r="F465" s="2"/>
      <c r="G465" s="2"/>
      <c r="I465" s="2"/>
      <c r="J465" s="2"/>
    </row>
    <row r="466" spans="3:10" ht="16.5" customHeight="1">
      <c r="C466" s="2"/>
      <c r="D466" s="2"/>
      <c r="E466" s="2"/>
      <c r="F466" s="2"/>
      <c r="G466" s="2"/>
      <c r="I466" s="2"/>
      <c r="J466" s="2"/>
    </row>
    <row r="467" spans="3:10" ht="16.5" customHeight="1">
      <c r="C467" s="2"/>
      <c r="D467" s="2"/>
      <c r="E467" s="2"/>
      <c r="F467" s="2"/>
      <c r="G467" s="2"/>
      <c r="I467" s="2"/>
      <c r="J467" s="2"/>
    </row>
    <row r="468" spans="3:10" ht="16.5" customHeight="1">
      <c r="C468" s="2"/>
      <c r="D468" s="2"/>
      <c r="E468" s="2"/>
      <c r="F468" s="2"/>
      <c r="G468" s="2"/>
      <c r="I468" s="2"/>
      <c r="J468" s="2"/>
    </row>
    <row r="469" spans="3:10" ht="16.5" customHeight="1">
      <c r="C469" s="2"/>
      <c r="D469" s="2"/>
      <c r="E469" s="2"/>
      <c r="F469" s="2"/>
      <c r="G469" s="2"/>
      <c r="I469" s="2"/>
      <c r="J469" s="2"/>
    </row>
    <row r="470" spans="3:10" ht="16.5" customHeight="1">
      <c r="C470" s="2"/>
      <c r="D470" s="2"/>
      <c r="E470" s="2"/>
      <c r="F470" s="2"/>
      <c r="G470" s="2"/>
      <c r="I470" s="2"/>
      <c r="J470" s="2"/>
    </row>
    <row r="471" spans="3:10" ht="16.5" customHeight="1">
      <c r="C471" s="2"/>
      <c r="D471" s="2"/>
      <c r="E471" s="2"/>
      <c r="F471" s="2"/>
      <c r="G471" s="2"/>
      <c r="I471" s="2"/>
      <c r="J471" s="2"/>
    </row>
    <row r="472" spans="3:10" ht="16.5" customHeight="1">
      <c r="C472" s="2"/>
      <c r="D472" s="2"/>
      <c r="E472" s="2"/>
      <c r="F472" s="2"/>
      <c r="G472" s="2"/>
      <c r="I472" s="2"/>
      <c r="J472" s="2"/>
    </row>
    <row r="473" spans="3:10" ht="16.5" customHeight="1">
      <c r="C473" s="2"/>
      <c r="D473" s="2"/>
      <c r="E473" s="2"/>
      <c r="F473" s="2"/>
      <c r="G473" s="2"/>
      <c r="I473" s="2"/>
      <c r="J473" s="2"/>
    </row>
    <row r="474" spans="3:10" ht="16.5" customHeight="1">
      <c r="C474" s="2"/>
      <c r="D474" s="2"/>
      <c r="E474" s="2"/>
      <c r="F474" s="2"/>
      <c r="G474" s="2"/>
      <c r="I474" s="2"/>
      <c r="J474" s="2"/>
    </row>
    <row r="475" spans="3:10" ht="16.5" customHeight="1">
      <c r="C475" s="2"/>
      <c r="D475" s="2"/>
      <c r="E475" s="2"/>
      <c r="F475" s="2"/>
      <c r="G475" s="2"/>
      <c r="I475" s="2"/>
      <c r="J475" s="2"/>
    </row>
    <row r="476" spans="3:10" ht="16.5" customHeight="1">
      <c r="C476" s="2"/>
      <c r="D476" s="2"/>
      <c r="E476" s="2"/>
      <c r="F476" s="2"/>
      <c r="G476" s="2"/>
      <c r="I476" s="2"/>
      <c r="J476" s="2"/>
    </row>
    <row r="477" spans="3:10" ht="16.5" customHeight="1">
      <c r="C477" s="2"/>
      <c r="D477" s="2"/>
      <c r="E477" s="2"/>
      <c r="F477" s="2"/>
      <c r="G477" s="2"/>
      <c r="I477" s="2"/>
      <c r="J477" s="2"/>
    </row>
    <row r="478" spans="3:10" ht="16.5" customHeight="1">
      <c r="C478" s="2"/>
      <c r="D478" s="2"/>
      <c r="E478" s="2"/>
      <c r="F478" s="2"/>
      <c r="G478" s="2"/>
      <c r="I478" s="2"/>
      <c r="J478" s="2"/>
    </row>
    <row r="479" spans="3:10" ht="16.5" customHeight="1">
      <c r="C479" s="2"/>
      <c r="D479" s="2"/>
      <c r="E479" s="2"/>
      <c r="F479" s="2"/>
      <c r="G479" s="2"/>
      <c r="I479" s="2"/>
      <c r="J479" s="2"/>
    </row>
    <row r="480" spans="3:10" ht="16.5" customHeight="1">
      <c r="C480" s="2"/>
      <c r="D480" s="2"/>
      <c r="E480" s="2"/>
      <c r="F480" s="2"/>
      <c r="G480" s="2"/>
      <c r="I480" s="2"/>
      <c r="J480" s="2"/>
    </row>
    <row r="481" spans="3:10" ht="16.5" customHeight="1">
      <c r="C481" s="2"/>
      <c r="D481" s="2"/>
      <c r="E481" s="2"/>
      <c r="F481" s="2"/>
      <c r="G481" s="2"/>
      <c r="I481" s="2"/>
      <c r="J481" s="2"/>
    </row>
    <row r="482" spans="3:10" ht="16.5" customHeight="1">
      <c r="C482" s="2"/>
      <c r="D482" s="2"/>
      <c r="E482" s="2"/>
      <c r="F482" s="2"/>
      <c r="G482" s="2"/>
      <c r="I482" s="2"/>
      <c r="J482" s="2"/>
    </row>
    <row r="483" spans="3:10" ht="16.5" customHeight="1">
      <c r="C483" s="2"/>
      <c r="D483" s="2"/>
      <c r="E483" s="2"/>
      <c r="F483" s="2"/>
      <c r="G483" s="2"/>
      <c r="I483" s="2"/>
      <c r="J483" s="2"/>
    </row>
    <row r="484" spans="3:10" ht="16.5" customHeight="1">
      <c r="C484" s="2"/>
      <c r="D484" s="2"/>
      <c r="E484" s="2"/>
      <c r="F484" s="2"/>
      <c r="G484" s="2"/>
      <c r="I484" s="2"/>
      <c r="J484" s="2"/>
    </row>
    <row r="485" spans="3:10" ht="16.5" customHeight="1">
      <c r="C485" s="2"/>
      <c r="D485" s="2"/>
      <c r="E485" s="2"/>
      <c r="F485" s="2"/>
      <c r="G485" s="2"/>
      <c r="I485" s="2"/>
      <c r="J485" s="2"/>
    </row>
    <row r="486" spans="3:10" ht="16.5" customHeight="1">
      <c r="C486" s="2"/>
      <c r="D486" s="2"/>
      <c r="E486" s="2"/>
      <c r="F486" s="2"/>
      <c r="G486" s="2"/>
      <c r="I486" s="2"/>
      <c r="J486" s="2"/>
    </row>
    <row r="487" spans="3:10" ht="16.5" customHeight="1">
      <c r="C487" s="2"/>
      <c r="D487" s="2"/>
      <c r="E487" s="2"/>
      <c r="F487" s="2"/>
      <c r="G487" s="2"/>
      <c r="I487" s="2"/>
      <c r="J487" s="2"/>
    </row>
    <row r="488" spans="3:10" ht="16.5" customHeight="1">
      <c r="C488" s="2"/>
      <c r="D488" s="2"/>
      <c r="E488" s="2"/>
      <c r="F488" s="2"/>
      <c r="G488" s="2"/>
      <c r="I488" s="2"/>
      <c r="J488" s="2"/>
    </row>
    <row r="489" spans="3:10" ht="16.5" customHeight="1">
      <c r="C489" s="2"/>
      <c r="D489" s="2"/>
      <c r="E489" s="2"/>
      <c r="F489" s="2"/>
      <c r="G489" s="2"/>
      <c r="I489" s="2"/>
      <c r="J489" s="2"/>
    </row>
    <row r="490" spans="3:10" ht="16.5" customHeight="1">
      <c r="C490" s="2"/>
      <c r="D490" s="2"/>
      <c r="E490" s="2"/>
      <c r="F490" s="2"/>
      <c r="G490" s="2"/>
      <c r="I490" s="2"/>
      <c r="J490" s="2"/>
    </row>
    <row r="491" spans="3:10" ht="16.5" customHeight="1">
      <c r="C491" s="2"/>
      <c r="D491" s="2"/>
      <c r="E491" s="2"/>
      <c r="F491" s="2"/>
      <c r="G491" s="2"/>
      <c r="I491" s="2"/>
      <c r="J491" s="2"/>
    </row>
    <row r="492" spans="3:10" ht="16.5" customHeight="1">
      <c r="C492" s="2"/>
      <c r="D492" s="2"/>
      <c r="E492" s="2"/>
      <c r="F492" s="2"/>
      <c r="G492" s="2"/>
      <c r="I492" s="2"/>
      <c r="J492" s="2"/>
    </row>
    <row r="493" spans="3:10" ht="16.5" customHeight="1">
      <c r="C493" s="2"/>
      <c r="D493" s="2"/>
      <c r="E493" s="2"/>
      <c r="F493" s="2"/>
      <c r="G493" s="2"/>
      <c r="I493" s="2"/>
      <c r="J493" s="2"/>
    </row>
    <row r="494" spans="3:10" ht="16.5" customHeight="1">
      <c r="C494" s="2"/>
      <c r="D494" s="2"/>
      <c r="E494" s="2"/>
      <c r="F494" s="2"/>
      <c r="G494" s="2"/>
      <c r="I494" s="2"/>
      <c r="J494" s="2"/>
    </row>
    <row r="495" spans="3:10" ht="16.5" customHeight="1">
      <c r="C495" s="2"/>
      <c r="D495" s="2"/>
      <c r="E495" s="2"/>
      <c r="F495" s="2"/>
      <c r="G495" s="2"/>
      <c r="I495" s="2"/>
      <c r="J495" s="2"/>
    </row>
    <row r="496" spans="3:10" ht="16.5" customHeight="1">
      <c r="C496" s="2"/>
      <c r="D496" s="2"/>
      <c r="E496" s="2"/>
      <c r="F496" s="2"/>
      <c r="G496" s="2"/>
      <c r="I496" s="2"/>
      <c r="J496" s="2"/>
    </row>
    <row r="497" spans="3:10" ht="16.5" customHeight="1">
      <c r="C497" s="2"/>
      <c r="D497" s="2"/>
      <c r="E497" s="2"/>
      <c r="F497" s="2"/>
      <c r="G497" s="2"/>
      <c r="I497" s="2"/>
      <c r="J497" s="2"/>
    </row>
    <row r="498" spans="3:10" ht="16.5" customHeight="1">
      <c r="C498" s="2"/>
      <c r="D498" s="2"/>
      <c r="E498" s="2"/>
      <c r="F498" s="2"/>
      <c r="G498" s="2"/>
      <c r="I498" s="2"/>
      <c r="J498" s="2"/>
    </row>
    <row r="499" spans="3:10" ht="16.5" customHeight="1">
      <c r="C499" s="2"/>
      <c r="D499" s="2"/>
      <c r="E499" s="2"/>
      <c r="F499" s="2"/>
      <c r="G499" s="2"/>
      <c r="I499" s="2"/>
      <c r="J499" s="2"/>
    </row>
    <row r="500" spans="3:10" ht="16.5" customHeight="1">
      <c r="C500" s="2"/>
      <c r="D500" s="2"/>
      <c r="E500" s="2"/>
      <c r="F500" s="2"/>
      <c r="G500" s="2"/>
      <c r="I500" s="2"/>
      <c r="J500" s="2"/>
    </row>
    <row r="501" spans="3:10" ht="16.5" customHeight="1">
      <c r="C501" s="2"/>
      <c r="D501" s="2"/>
      <c r="E501" s="2"/>
      <c r="F501" s="2"/>
      <c r="G501" s="2"/>
      <c r="I501" s="2"/>
      <c r="J501" s="2"/>
    </row>
    <row r="502" spans="3:10" ht="16.5" customHeight="1">
      <c r="C502" s="2"/>
      <c r="D502" s="2"/>
      <c r="E502" s="2"/>
      <c r="F502" s="2"/>
      <c r="G502" s="2"/>
      <c r="I502" s="2"/>
      <c r="J502" s="2"/>
    </row>
    <row r="503" spans="3:10" ht="16.5" customHeight="1">
      <c r="C503" s="2"/>
      <c r="D503" s="2"/>
      <c r="E503" s="2"/>
      <c r="F503" s="2"/>
      <c r="G503" s="2"/>
      <c r="I503" s="2"/>
      <c r="J503" s="2"/>
    </row>
    <row r="504" spans="3:10" ht="16.5" customHeight="1">
      <c r="C504" s="2"/>
      <c r="D504" s="2"/>
      <c r="E504" s="2"/>
      <c r="F504" s="2"/>
      <c r="G504" s="2"/>
      <c r="I504" s="2"/>
      <c r="J504" s="2"/>
    </row>
    <row r="505" spans="3:10" ht="16.5" customHeight="1">
      <c r="C505" s="2"/>
      <c r="D505" s="2"/>
      <c r="E505" s="2"/>
      <c r="F505" s="2"/>
      <c r="G505" s="2"/>
      <c r="I505" s="2"/>
      <c r="J505" s="2"/>
    </row>
    <row r="506" spans="3:10" ht="16.5" customHeight="1">
      <c r="C506" s="2"/>
      <c r="D506" s="2"/>
      <c r="E506" s="2"/>
      <c r="F506" s="2"/>
      <c r="G506" s="2"/>
      <c r="I506" s="2"/>
      <c r="J506" s="2"/>
    </row>
    <row r="507" spans="3:10" ht="16.5" customHeight="1">
      <c r="C507" s="2"/>
      <c r="D507" s="2"/>
      <c r="E507" s="2"/>
      <c r="F507" s="2"/>
      <c r="G507" s="2"/>
      <c r="I507" s="2"/>
      <c r="J507" s="2"/>
    </row>
    <row r="508" spans="3:10" ht="16.5" customHeight="1">
      <c r="C508" s="2"/>
      <c r="D508" s="2"/>
      <c r="E508" s="2"/>
      <c r="F508" s="2"/>
      <c r="G508" s="2"/>
      <c r="I508" s="2"/>
      <c r="J508" s="2"/>
    </row>
    <row r="509" spans="3:10" ht="16.5" customHeight="1">
      <c r="C509" s="2"/>
      <c r="D509" s="2"/>
      <c r="E509" s="2"/>
      <c r="F509" s="2"/>
      <c r="G509" s="2"/>
      <c r="I509" s="2"/>
      <c r="J509" s="2"/>
    </row>
    <row r="510" spans="3:10" ht="16.5" customHeight="1">
      <c r="C510" s="2"/>
      <c r="D510" s="2"/>
      <c r="E510" s="2"/>
      <c r="F510" s="2"/>
      <c r="G510" s="2"/>
      <c r="I510" s="2"/>
      <c r="J510" s="2"/>
    </row>
    <row r="511" spans="3:10" ht="16.5" customHeight="1">
      <c r="C511" s="2"/>
      <c r="D511" s="2"/>
      <c r="E511" s="2"/>
      <c r="F511" s="2"/>
      <c r="G511" s="2"/>
      <c r="I511" s="2"/>
      <c r="J511" s="2"/>
    </row>
    <row r="512" spans="3:10" ht="16.5" customHeight="1">
      <c r="C512" s="2"/>
      <c r="D512" s="2"/>
      <c r="E512" s="2"/>
      <c r="F512" s="2"/>
      <c r="G512" s="2"/>
      <c r="I512" s="2"/>
      <c r="J512" s="2"/>
    </row>
    <row r="513" spans="3:10" ht="16.5" customHeight="1">
      <c r="C513" s="2"/>
      <c r="D513" s="2"/>
      <c r="E513" s="2"/>
      <c r="F513" s="2"/>
      <c r="G513" s="2"/>
      <c r="I513" s="2"/>
      <c r="J513" s="2"/>
    </row>
    <row r="514" spans="3:10" ht="16.5" customHeight="1">
      <c r="C514" s="2"/>
      <c r="D514" s="2"/>
      <c r="E514" s="2"/>
      <c r="F514" s="2"/>
      <c r="G514" s="2"/>
      <c r="I514" s="2"/>
      <c r="J514" s="2"/>
    </row>
    <row r="515" spans="3:10" ht="16.5" customHeight="1">
      <c r="C515" s="2"/>
      <c r="D515" s="2"/>
      <c r="E515" s="2"/>
      <c r="F515" s="2"/>
      <c r="G515" s="2"/>
      <c r="I515" s="2"/>
      <c r="J515" s="2"/>
    </row>
    <row r="516" spans="3:10" ht="16.5" customHeight="1">
      <c r="C516" s="2"/>
      <c r="D516" s="2"/>
      <c r="E516" s="2"/>
      <c r="F516" s="2"/>
      <c r="G516" s="2"/>
      <c r="I516" s="2"/>
      <c r="J516" s="2"/>
    </row>
    <row r="517" spans="3:10" ht="16.5" customHeight="1">
      <c r="C517" s="2"/>
      <c r="D517" s="2"/>
      <c r="E517" s="2"/>
      <c r="F517" s="2"/>
      <c r="G517" s="2"/>
      <c r="I517" s="2"/>
      <c r="J517" s="2"/>
    </row>
    <row r="518" spans="3:10" ht="16.5" customHeight="1">
      <c r="C518" s="2"/>
      <c r="D518" s="2"/>
      <c r="E518" s="2"/>
      <c r="F518" s="2"/>
      <c r="G518" s="2"/>
      <c r="I518" s="2"/>
      <c r="J518" s="2"/>
    </row>
    <row r="519" spans="3:10" ht="16.5" customHeight="1">
      <c r="C519" s="2"/>
      <c r="D519" s="2"/>
      <c r="E519" s="2"/>
      <c r="F519" s="2"/>
      <c r="G519" s="2"/>
      <c r="I519" s="2"/>
      <c r="J519" s="2"/>
    </row>
    <row r="520" spans="3:10" ht="16.5" customHeight="1">
      <c r="C520" s="2"/>
      <c r="D520" s="2"/>
      <c r="E520" s="2"/>
      <c r="F520" s="2"/>
      <c r="G520" s="2"/>
      <c r="I520" s="2"/>
      <c r="J520" s="2"/>
    </row>
    <row r="521" spans="3:10" ht="16.5" customHeight="1">
      <c r="C521" s="2"/>
      <c r="D521" s="2"/>
      <c r="E521" s="2"/>
      <c r="F521" s="2"/>
      <c r="G521" s="2"/>
      <c r="I521" s="2"/>
      <c r="J521" s="2"/>
    </row>
    <row r="522" spans="3:10" ht="16.5" customHeight="1">
      <c r="C522" s="2"/>
      <c r="D522" s="2"/>
      <c r="E522" s="2"/>
      <c r="F522" s="2"/>
      <c r="G522" s="2"/>
      <c r="I522" s="2"/>
      <c r="J522" s="2"/>
    </row>
    <row r="523" spans="3:10" ht="16.5" customHeight="1">
      <c r="C523" s="2"/>
      <c r="D523" s="2"/>
      <c r="E523" s="2"/>
      <c r="F523" s="2"/>
      <c r="G523" s="2"/>
      <c r="I523" s="2"/>
      <c r="J523" s="2"/>
    </row>
    <row r="524" spans="3:10" ht="16.5" customHeight="1">
      <c r="C524" s="2"/>
      <c r="D524" s="2"/>
      <c r="E524" s="2"/>
      <c r="F524" s="2"/>
      <c r="G524" s="2"/>
      <c r="I524" s="2"/>
      <c r="J524" s="2"/>
    </row>
    <row r="525" spans="3:10" ht="16.5" customHeight="1">
      <c r="C525" s="2"/>
      <c r="D525" s="2"/>
      <c r="E525" s="2"/>
      <c r="F525" s="2"/>
      <c r="G525" s="2"/>
      <c r="I525" s="2"/>
      <c r="J525" s="2"/>
    </row>
    <row r="526" spans="3:10" ht="16.5" customHeight="1">
      <c r="C526" s="2"/>
      <c r="D526" s="2"/>
      <c r="E526" s="2"/>
      <c r="F526" s="2"/>
      <c r="G526" s="2"/>
      <c r="I526" s="2"/>
      <c r="J526" s="2"/>
    </row>
    <row r="527" spans="3:10" ht="16.5" customHeight="1">
      <c r="C527" s="2"/>
      <c r="D527" s="2"/>
      <c r="E527" s="2"/>
      <c r="F527" s="2"/>
      <c r="G527" s="2"/>
      <c r="I527" s="2"/>
      <c r="J527" s="2"/>
    </row>
    <row r="528" spans="3:10" ht="16.5" customHeight="1">
      <c r="C528" s="2"/>
      <c r="D528" s="2"/>
      <c r="E528" s="2"/>
      <c r="F528" s="2"/>
      <c r="G528" s="2"/>
      <c r="I528" s="2"/>
      <c r="J528" s="2"/>
    </row>
    <row r="529" spans="3:10" ht="16.5" customHeight="1">
      <c r="C529" s="2"/>
      <c r="D529" s="2"/>
      <c r="E529" s="2"/>
      <c r="F529" s="2"/>
      <c r="G529" s="2"/>
      <c r="I529" s="2"/>
      <c r="J529" s="2"/>
    </row>
    <row r="530" spans="3:10" ht="16.5" customHeight="1">
      <c r="C530" s="2"/>
      <c r="D530" s="2"/>
      <c r="E530" s="2"/>
      <c r="F530" s="2"/>
      <c r="G530" s="2"/>
      <c r="I530" s="2"/>
      <c r="J530" s="2"/>
    </row>
    <row r="531" spans="3:10" ht="16.5" customHeight="1">
      <c r="C531" s="2"/>
      <c r="D531" s="2"/>
      <c r="E531" s="2"/>
      <c r="F531" s="2"/>
      <c r="G531" s="2"/>
      <c r="I531" s="2"/>
      <c r="J531" s="2"/>
    </row>
    <row r="532" spans="3:10" ht="16.5" customHeight="1">
      <c r="C532" s="2"/>
      <c r="D532" s="2"/>
      <c r="E532" s="2"/>
      <c r="F532" s="2"/>
      <c r="G532" s="2"/>
      <c r="I532" s="2"/>
      <c r="J532" s="2"/>
    </row>
    <row r="533" spans="3:10" ht="16.5" customHeight="1">
      <c r="C533" s="2"/>
      <c r="D533" s="2"/>
      <c r="E533" s="2"/>
      <c r="F533" s="2"/>
      <c r="G533" s="2"/>
      <c r="I533" s="2"/>
      <c r="J533" s="2"/>
    </row>
    <row r="534" spans="3:10" ht="16.5" customHeight="1">
      <c r="C534" s="2"/>
      <c r="D534" s="2"/>
      <c r="E534" s="2"/>
      <c r="F534" s="2"/>
      <c r="G534" s="2"/>
      <c r="I534" s="2"/>
      <c r="J534" s="2"/>
    </row>
    <row r="535" spans="3:10" ht="16.5" customHeight="1">
      <c r="C535" s="2"/>
      <c r="D535" s="2"/>
      <c r="E535" s="2"/>
      <c r="F535" s="2"/>
      <c r="G535" s="2"/>
      <c r="I535" s="2"/>
      <c r="J535" s="2"/>
    </row>
    <row r="536" spans="3:10" ht="16.5" customHeight="1">
      <c r="C536" s="2"/>
      <c r="D536" s="2"/>
      <c r="E536" s="2"/>
      <c r="F536" s="2"/>
      <c r="G536" s="2"/>
      <c r="I536" s="2"/>
      <c r="J536" s="2"/>
    </row>
    <row r="537" spans="3:10" ht="16.5" customHeight="1">
      <c r="C537" s="2"/>
      <c r="D537" s="2"/>
      <c r="E537" s="2"/>
      <c r="F537" s="2"/>
      <c r="G537" s="2"/>
      <c r="I537" s="2"/>
      <c r="J537" s="2"/>
    </row>
    <row r="538" spans="3:10" ht="16.5" customHeight="1">
      <c r="C538" s="2"/>
      <c r="D538" s="2"/>
      <c r="E538" s="2"/>
      <c r="F538" s="2"/>
      <c r="G538" s="2"/>
      <c r="I538" s="2"/>
      <c r="J538" s="2"/>
    </row>
    <row r="539" spans="3:10" ht="16.5" customHeight="1">
      <c r="C539" s="2"/>
      <c r="D539" s="2"/>
      <c r="E539" s="2"/>
      <c r="F539" s="2"/>
      <c r="G539" s="2"/>
      <c r="I539" s="2"/>
      <c r="J539" s="2"/>
    </row>
    <row r="540" spans="3:10" ht="16.5" customHeight="1">
      <c r="C540" s="2"/>
      <c r="D540" s="2"/>
      <c r="E540" s="2"/>
      <c r="F540" s="2"/>
      <c r="G540" s="2"/>
      <c r="I540" s="2"/>
      <c r="J540" s="2"/>
    </row>
    <row r="541" spans="3:10" ht="16.5" customHeight="1">
      <c r="C541" s="2"/>
      <c r="D541" s="2"/>
      <c r="E541" s="2"/>
      <c r="F541" s="2"/>
      <c r="G541" s="2"/>
      <c r="I541" s="2"/>
      <c r="J541" s="2"/>
    </row>
    <row r="542" spans="3:10" ht="16.5" customHeight="1">
      <c r="C542" s="2"/>
      <c r="D542" s="2"/>
      <c r="E542" s="2"/>
      <c r="F542" s="2"/>
      <c r="G542" s="2"/>
      <c r="I542" s="2"/>
      <c r="J542" s="2"/>
    </row>
    <row r="543" spans="3:10" ht="16.5" customHeight="1">
      <c r="C543" s="2"/>
      <c r="D543" s="2"/>
      <c r="E543" s="2"/>
      <c r="F543" s="2"/>
      <c r="G543" s="2"/>
      <c r="I543" s="2"/>
      <c r="J543" s="2"/>
    </row>
    <row r="544" spans="3:10" ht="16.5" customHeight="1">
      <c r="C544" s="2"/>
      <c r="D544" s="2"/>
      <c r="E544" s="2"/>
      <c r="F544" s="2"/>
      <c r="G544" s="2"/>
      <c r="I544" s="2"/>
      <c r="J544" s="2"/>
    </row>
    <row r="545" spans="3:10" ht="16.5" customHeight="1">
      <c r="C545" s="2"/>
      <c r="D545" s="2"/>
      <c r="E545" s="2"/>
      <c r="F545" s="2"/>
      <c r="G545" s="2"/>
      <c r="I545" s="2"/>
      <c r="J545" s="2"/>
    </row>
    <row r="546" spans="3:10" ht="16.5" customHeight="1">
      <c r="C546" s="2"/>
      <c r="D546" s="2"/>
      <c r="E546" s="2"/>
      <c r="F546" s="2"/>
      <c r="G546" s="2"/>
      <c r="I546" s="2"/>
      <c r="J546" s="2"/>
    </row>
    <row r="547" spans="3:10" ht="16.5" customHeight="1">
      <c r="C547" s="2"/>
      <c r="D547" s="2"/>
      <c r="E547" s="2"/>
      <c r="F547" s="2"/>
      <c r="G547" s="2"/>
      <c r="I547" s="2"/>
      <c r="J547" s="2"/>
    </row>
    <row r="548" spans="3:10" ht="16.5" customHeight="1">
      <c r="C548" s="2"/>
      <c r="D548" s="2"/>
      <c r="E548" s="2"/>
      <c r="F548" s="2"/>
      <c r="G548" s="2"/>
      <c r="I548" s="2"/>
      <c r="J548" s="2"/>
    </row>
    <row r="549" spans="3:10" ht="16.5" customHeight="1">
      <c r="C549" s="2"/>
      <c r="D549" s="2"/>
      <c r="E549" s="2"/>
      <c r="F549" s="2"/>
      <c r="G549" s="2"/>
      <c r="I549" s="2"/>
      <c r="J549" s="2"/>
    </row>
    <row r="550" spans="3:10" ht="16.5" customHeight="1">
      <c r="C550" s="2"/>
      <c r="D550" s="2"/>
      <c r="E550" s="2"/>
      <c r="F550" s="2"/>
      <c r="G550" s="2"/>
      <c r="I550" s="2"/>
      <c r="J550" s="2"/>
    </row>
    <row r="551" spans="3:10" ht="16.5" customHeight="1">
      <c r="C551" s="2"/>
      <c r="D551" s="2"/>
      <c r="E551" s="2"/>
      <c r="F551" s="2"/>
      <c r="G551" s="2"/>
      <c r="I551" s="2"/>
      <c r="J551" s="2"/>
    </row>
    <row r="552" spans="3:10" ht="16.5" customHeight="1">
      <c r="C552" s="2"/>
      <c r="D552" s="2"/>
      <c r="E552" s="2"/>
      <c r="F552" s="2"/>
      <c r="G552" s="2"/>
      <c r="I552" s="2"/>
      <c r="J552" s="2"/>
    </row>
    <row r="553" spans="3:10" ht="16.5" customHeight="1">
      <c r="C553" s="2"/>
      <c r="D553" s="2"/>
      <c r="E553" s="2"/>
      <c r="F553" s="2"/>
      <c r="G553" s="2"/>
      <c r="I553" s="2"/>
      <c r="J553" s="2"/>
    </row>
    <row r="554" spans="3:10" ht="16.5" customHeight="1">
      <c r="C554" s="2"/>
      <c r="D554" s="2"/>
      <c r="E554" s="2"/>
      <c r="F554" s="2"/>
      <c r="G554" s="2"/>
      <c r="I554" s="2"/>
      <c r="J554" s="2"/>
    </row>
    <row r="555" spans="3:10" ht="16.5" customHeight="1">
      <c r="C555" s="2"/>
      <c r="D555" s="2"/>
      <c r="E555" s="2"/>
      <c r="F555" s="2"/>
      <c r="G555" s="2"/>
      <c r="I555" s="2"/>
      <c r="J555" s="2"/>
    </row>
    <row r="556" spans="3:10" ht="16.5" customHeight="1">
      <c r="C556" s="2"/>
      <c r="D556" s="2"/>
      <c r="E556" s="2"/>
      <c r="F556" s="2"/>
      <c r="G556" s="2"/>
      <c r="I556" s="2"/>
      <c r="J556" s="2"/>
    </row>
    <row r="557" spans="3:10" ht="16.5" customHeight="1">
      <c r="C557" s="2"/>
      <c r="D557" s="2"/>
      <c r="E557" s="2"/>
      <c r="F557" s="2"/>
      <c r="G557" s="2"/>
      <c r="I557" s="2"/>
      <c r="J557" s="2"/>
    </row>
    <row r="558" spans="3:10" ht="16.5" customHeight="1">
      <c r="C558" s="2"/>
      <c r="D558" s="2"/>
      <c r="E558" s="2"/>
      <c r="F558" s="2"/>
      <c r="G558" s="2"/>
      <c r="I558" s="2"/>
      <c r="J558" s="2"/>
    </row>
    <row r="559" spans="3:10" ht="16.5" customHeight="1">
      <c r="C559" s="2"/>
      <c r="D559" s="2"/>
      <c r="E559" s="2"/>
      <c r="F559" s="2"/>
      <c r="G559" s="2"/>
      <c r="I559" s="2"/>
      <c r="J559" s="2"/>
    </row>
    <row r="560" spans="3:10" ht="16.5" customHeight="1">
      <c r="C560" s="2"/>
      <c r="D560" s="2"/>
      <c r="E560" s="2"/>
      <c r="F560" s="2"/>
      <c r="G560" s="2"/>
      <c r="I560" s="2"/>
      <c r="J560" s="2"/>
    </row>
    <row r="561" spans="3:10" ht="16.5" customHeight="1">
      <c r="C561" s="2"/>
      <c r="D561" s="2"/>
      <c r="E561" s="2"/>
      <c r="F561" s="2"/>
      <c r="G561" s="2"/>
      <c r="I561" s="2"/>
      <c r="J561" s="2"/>
    </row>
    <row r="562" spans="3:10" ht="16.5" customHeight="1">
      <c r="C562" s="2"/>
      <c r="D562" s="2"/>
      <c r="E562" s="2"/>
      <c r="F562" s="2"/>
      <c r="G562" s="2"/>
      <c r="I562" s="2"/>
      <c r="J562" s="2"/>
    </row>
    <row r="563" spans="3:10" ht="16.5" customHeight="1">
      <c r="C563" s="2"/>
      <c r="D563" s="2"/>
      <c r="E563" s="2"/>
      <c r="F563" s="2"/>
      <c r="G563" s="2"/>
      <c r="I563" s="2"/>
      <c r="J563" s="2"/>
    </row>
    <row r="564" spans="3:10" ht="16.5" customHeight="1">
      <c r="C564" s="2"/>
      <c r="D564" s="2"/>
      <c r="E564" s="2"/>
      <c r="F564" s="2"/>
      <c r="G564" s="2"/>
      <c r="I564" s="2"/>
      <c r="J564" s="2"/>
    </row>
    <row r="565" spans="3:10" ht="16.5" customHeight="1">
      <c r="C565" s="2"/>
      <c r="D565" s="2"/>
      <c r="E565" s="2"/>
      <c r="F565" s="2"/>
      <c r="G565" s="2"/>
      <c r="I565" s="2"/>
      <c r="J565" s="2"/>
    </row>
    <row r="566" spans="3:10" ht="16.5" customHeight="1">
      <c r="C566" s="2"/>
      <c r="D566" s="2"/>
      <c r="E566" s="2"/>
      <c r="F566" s="2"/>
      <c r="G566" s="2"/>
      <c r="I566" s="2"/>
      <c r="J566" s="2"/>
    </row>
    <row r="567" spans="3:10" ht="16.5" customHeight="1">
      <c r="C567" s="2"/>
      <c r="D567" s="2"/>
      <c r="E567" s="2"/>
      <c r="F567" s="2"/>
      <c r="G567" s="2"/>
      <c r="I567" s="2"/>
      <c r="J567" s="2"/>
    </row>
    <row r="568" spans="3:10" ht="16.5" customHeight="1">
      <c r="C568" s="2"/>
      <c r="D568" s="2"/>
      <c r="E568" s="2"/>
      <c r="F568" s="2"/>
      <c r="G568" s="2"/>
      <c r="I568" s="2"/>
      <c r="J568" s="2"/>
    </row>
    <row r="569" spans="3:10" ht="16.5" customHeight="1">
      <c r="C569" s="2"/>
      <c r="D569" s="2"/>
      <c r="E569" s="2"/>
      <c r="F569" s="2"/>
      <c r="G569" s="2"/>
      <c r="I569" s="2"/>
      <c r="J569" s="2"/>
    </row>
    <row r="570" spans="3:10" ht="16.5" customHeight="1">
      <c r="C570" s="2"/>
      <c r="D570" s="2"/>
      <c r="E570" s="2"/>
      <c r="F570" s="2"/>
      <c r="G570" s="2"/>
      <c r="I570" s="2"/>
      <c r="J570" s="2"/>
    </row>
    <row r="571" spans="3:10" ht="16.5" customHeight="1">
      <c r="C571" s="2"/>
      <c r="D571" s="2"/>
      <c r="E571" s="2"/>
      <c r="F571" s="2"/>
      <c r="G571" s="2"/>
      <c r="I571" s="2"/>
      <c r="J571" s="2"/>
    </row>
    <row r="572" spans="3:10" ht="16.5" customHeight="1">
      <c r="C572" s="2"/>
      <c r="D572" s="2"/>
      <c r="E572" s="2"/>
      <c r="F572" s="2"/>
      <c r="G572" s="2"/>
      <c r="I572" s="2"/>
      <c r="J572" s="2"/>
    </row>
    <row r="573" spans="3:10" ht="16.5" customHeight="1">
      <c r="C573" s="2"/>
      <c r="D573" s="2"/>
      <c r="E573" s="2"/>
      <c r="F573" s="2"/>
      <c r="G573" s="2"/>
      <c r="I573" s="2"/>
      <c r="J573" s="2"/>
    </row>
    <row r="574" spans="3:10" ht="16.5" customHeight="1">
      <c r="C574" s="2"/>
      <c r="D574" s="2"/>
      <c r="E574" s="2"/>
      <c r="F574" s="2"/>
      <c r="G574" s="2"/>
      <c r="I574" s="2"/>
      <c r="J574" s="2"/>
    </row>
    <row r="575" spans="3:10" ht="16.5" customHeight="1">
      <c r="C575" s="2"/>
      <c r="D575" s="2"/>
      <c r="E575" s="2"/>
      <c r="F575" s="2"/>
      <c r="G575" s="2"/>
      <c r="I575" s="2"/>
      <c r="J575" s="2"/>
    </row>
    <row r="576" spans="3:10" ht="16.5" customHeight="1">
      <c r="C576" s="2"/>
      <c r="D576" s="2"/>
      <c r="E576" s="2"/>
      <c r="F576" s="2"/>
      <c r="G576" s="2"/>
      <c r="I576" s="2"/>
      <c r="J576" s="2"/>
    </row>
    <row r="577" spans="3:10" ht="16.5" customHeight="1">
      <c r="C577" s="2"/>
      <c r="D577" s="2"/>
      <c r="E577" s="2"/>
      <c r="F577" s="2"/>
      <c r="G577" s="2"/>
      <c r="I577" s="2"/>
      <c r="J577" s="2"/>
    </row>
    <row r="578" spans="3:10" ht="16.5" customHeight="1">
      <c r="C578" s="2"/>
      <c r="D578" s="2"/>
      <c r="E578" s="2"/>
      <c r="F578" s="2"/>
      <c r="G578" s="2"/>
      <c r="I578" s="2"/>
      <c r="J578" s="2"/>
    </row>
    <row r="579" spans="3:10" ht="16.5" customHeight="1">
      <c r="C579" s="2"/>
      <c r="D579" s="2"/>
      <c r="E579" s="2"/>
      <c r="F579" s="2"/>
      <c r="G579" s="2"/>
      <c r="I579" s="2"/>
      <c r="J579" s="2"/>
    </row>
    <row r="580" spans="3:10" ht="16.5" customHeight="1">
      <c r="C580" s="2"/>
      <c r="D580" s="2"/>
      <c r="E580" s="2"/>
      <c r="F580" s="2"/>
      <c r="G580" s="2"/>
      <c r="I580" s="2"/>
      <c r="J580" s="2"/>
    </row>
    <row r="581" spans="3:10" ht="16.5" customHeight="1">
      <c r="C581" s="2"/>
      <c r="D581" s="2"/>
      <c r="E581" s="2"/>
      <c r="F581" s="2"/>
      <c r="G581" s="2"/>
      <c r="I581" s="2"/>
      <c r="J581" s="2"/>
    </row>
    <row r="582" spans="3:10" ht="16.5" customHeight="1">
      <c r="C582" s="2"/>
      <c r="D582" s="2"/>
      <c r="E582" s="2"/>
      <c r="F582" s="2"/>
      <c r="G582" s="2"/>
      <c r="I582" s="2"/>
      <c r="J582" s="2"/>
    </row>
    <row r="583" spans="3:10" ht="16.5" customHeight="1">
      <c r="C583" s="2"/>
      <c r="D583" s="2"/>
      <c r="E583" s="2"/>
      <c r="F583" s="2"/>
      <c r="G583" s="2"/>
      <c r="I583" s="2"/>
      <c r="J583" s="2"/>
    </row>
    <row r="584" spans="3:10" ht="16.5" customHeight="1">
      <c r="C584" s="2"/>
      <c r="D584" s="2"/>
      <c r="E584" s="2"/>
      <c r="F584" s="2"/>
      <c r="G584" s="2"/>
      <c r="I584" s="2"/>
      <c r="J584" s="2"/>
    </row>
    <row r="585" spans="3:10" ht="16.5" customHeight="1">
      <c r="C585" s="2"/>
      <c r="D585" s="2"/>
      <c r="E585" s="2"/>
      <c r="F585" s="2"/>
      <c r="G585" s="2"/>
      <c r="I585" s="2"/>
      <c r="J585" s="2"/>
    </row>
    <row r="586" spans="3:10" ht="16.5" customHeight="1">
      <c r="C586" s="2"/>
      <c r="D586" s="2"/>
      <c r="E586" s="2"/>
      <c r="F586" s="2"/>
      <c r="G586" s="2"/>
      <c r="I586" s="2"/>
      <c r="J586" s="2"/>
    </row>
    <row r="587" spans="3:10" ht="16.5" customHeight="1">
      <c r="C587" s="2"/>
      <c r="D587" s="2"/>
      <c r="E587" s="2"/>
      <c r="F587" s="2"/>
      <c r="G587" s="2"/>
      <c r="I587" s="2"/>
      <c r="J587" s="2"/>
    </row>
    <row r="588" spans="3:10" ht="16.5" customHeight="1">
      <c r="C588" s="2"/>
      <c r="D588" s="2"/>
      <c r="E588" s="2"/>
      <c r="F588" s="2"/>
      <c r="G588" s="2"/>
      <c r="I588" s="2"/>
      <c r="J588" s="2"/>
    </row>
    <row r="589" spans="3:10" ht="16.5" customHeight="1">
      <c r="C589" s="2"/>
      <c r="D589" s="2"/>
      <c r="E589" s="2"/>
      <c r="F589" s="2"/>
      <c r="G589" s="2"/>
      <c r="I589" s="2"/>
      <c r="J589" s="2"/>
    </row>
    <row r="590" spans="3:10" ht="16.5" customHeight="1">
      <c r="C590" s="2"/>
      <c r="D590" s="2"/>
      <c r="E590" s="2"/>
      <c r="F590" s="2"/>
      <c r="G590" s="2"/>
      <c r="I590" s="2"/>
      <c r="J590" s="2"/>
    </row>
    <row r="591" spans="3:10" ht="16.5" customHeight="1">
      <c r="C591" s="2"/>
      <c r="D591" s="2"/>
      <c r="E591" s="2"/>
      <c r="F591" s="2"/>
      <c r="G591" s="2"/>
      <c r="I591" s="2"/>
      <c r="J591" s="2"/>
    </row>
    <row r="592" spans="3:10" ht="16.5" customHeight="1">
      <c r="C592" s="2"/>
      <c r="D592" s="2"/>
      <c r="E592" s="2"/>
      <c r="F592" s="2"/>
      <c r="G592" s="2"/>
      <c r="I592" s="2"/>
      <c r="J592" s="2"/>
    </row>
    <row r="593" spans="3:10" ht="16.5" customHeight="1">
      <c r="C593" s="2"/>
      <c r="D593" s="2"/>
      <c r="E593" s="2"/>
      <c r="F593" s="2"/>
      <c r="G593" s="2"/>
      <c r="I593" s="2"/>
      <c r="J593" s="2"/>
    </row>
    <row r="594" spans="3:10" ht="16.5" customHeight="1">
      <c r="C594" s="2"/>
      <c r="D594" s="2"/>
      <c r="E594" s="2"/>
      <c r="F594" s="2"/>
      <c r="G594" s="2"/>
      <c r="I594" s="2"/>
      <c r="J594" s="2"/>
    </row>
    <row r="595" spans="3:10" ht="16.5" customHeight="1">
      <c r="C595" s="2"/>
      <c r="D595" s="2"/>
      <c r="E595" s="2"/>
      <c r="F595" s="2"/>
      <c r="G595" s="2"/>
      <c r="I595" s="2"/>
      <c r="J595" s="2"/>
    </row>
    <row r="596" spans="3:10" ht="16.5" customHeight="1">
      <c r="C596" s="2"/>
      <c r="D596" s="2"/>
      <c r="E596" s="2"/>
      <c r="F596" s="2"/>
      <c r="G596" s="2"/>
      <c r="I596" s="2"/>
      <c r="J596" s="2"/>
    </row>
    <row r="597" spans="3:10" ht="16.5" customHeight="1">
      <c r="C597" s="2"/>
      <c r="D597" s="2"/>
      <c r="E597" s="2"/>
      <c r="F597" s="2"/>
      <c r="G597" s="2"/>
      <c r="I597" s="2"/>
      <c r="J597" s="2"/>
    </row>
    <row r="598" spans="3:10" ht="16.5" customHeight="1">
      <c r="C598" s="2"/>
      <c r="D598" s="2"/>
      <c r="E598" s="2"/>
      <c r="F598" s="2"/>
      <c r="G598" s="2"/>
      <c r="I598" s="2"/>
      <c r="J598" s="2"/>
    </row>
    <row r="599" spans="3:10" ht="16.5" customHeight="1">
      <c r="C599" s="2"/>
      <c r="D599" s="2"/>
      <c r="E599" s="2"/>
      <c r="F599" s="2"/>
      <c r="G599" s="2"/>
      <c r="I599" s="2"/>
      <c r="J599" s="2"/>
    </row>
    <row r="600" spans="3:10" ht="16.5" customHeight="1">
      <c r="C600" s="2"/>
      <c r="D600" s="2"/>
      <c r="E600" s="2"/>
      <c r="F600" s="2"/>
      <c r="G600" s="2"/>
      <c r="I600" s="2"/>
      <c r="J600" s="2"/>
    </row>
    <row r="601" spans="3:10" ht="16.5" customHeight="1">
      <c r="C601" s="2"/>
      <c r="D601" s="2"/>
      <c r="E601" s="2"/>
      <c r="F601" s="2"/>
      <c r="G601" s="2"/>
      <c r="I601" s="2"/>
      <c r="J601" s="2"/>
    </row>
    <row r="602" spans="3:10" ht="16.5" customHeight="1">
      <c r="C602" s="2"/>
      <c r="D602" s="2"/>
      <c r="E602" s="2"/>
      <c r="F602" s="2"/>
      <c r="G602" s="2"/>
      <c r="I602" s="2"/>
      <c r="J602" s="2"/>
    </row>
    <row r="603" spans="3:10" ht="16.5" customHeight="1">
      <c r="C603" s="2"/>
      <c r="D603" s="2"/>
      <c r="E603" s="2"/>
      <c r="F603" s="2"/>
      <c r="G603" s="2"/>
      <c r="I603" s="2"/>
      <c r="J603" s="2"/>
    </row>
    <row r="604" spans="3:10" ht="16.5" customHeight="1">
      <c r="C604" s="2"/>
      <c r="D604" s="2"/>
      <c r="E604" s="2"/>
      <c r="F604" s="2"/>
      <c r="G604" s="2"/>
      <c r="I604" s="2"/>
      <c r="J604" s="2"/>
    </row>
    <row r="605" spans="3:10" ht="16.5" customHeight="1">
      <c r="C605" s="2"/>
      <c r="D605" s="2"/>
      <c r="E605" s="2"/>
      <c r="F605" s="2"/>
      <c r="G605" s="2"/>
      <c r="I605" s="2"/>
      <c r="J605" s="2"/>
    </row>
    <row r="606" spans="3:10" ht="16.5" customHeight="1">
      <c r="C606" s="2"/>
      <c r="D606" s="2"/>
      <c r="E606" s="2"/>
      <c r="F606" s="2"/>
      <c r="G606" s="2"/>
      <c r="I606" s="2"/>
      <c r="J606" s="2"/>
    </row>
    <row r="607" spans="3:10" ht="16.5" customHeight="1">
      <c r="C607" s="2"/>
      <c r="D607" s="2"/>
      <c r="E607" s="2"/>
      <c r="F607" s="2"/>
      <c r="G607" s="2"/>
      <c r="I607" s="2"/>
      <c r="J607" s="2"/>
    </row>
    <row r="608" spans="3:10" ht="16.5" customHeight="1">
      <c r="C608" s="2"/>
      <c r="D608" s="2"/>
      <c r="E608" s="2"/>
      <c r="F608" s="2"/>
      <c r="G608" s="2"/>
      <c r="I608" s="2"/>
      <c r="J608" s="2"/>
    </row>
    <row r="609" spans="3:10" ht="16.5" customHeight="1">
      <c r="C609" s="2"/>
      <c r="D609" s="2"/>
      <c r="E609" s="2"/>
      <c r="F609" s="2"/>
      <c r="G609" s="2"/>
      <c r="I609" s="2"/>
      <c r="J609" s="2"/>
    </row>
    <row r="610" spans="3:10" ht="16.5" customHeight="1">
      <c r="C610" s="2"/>
      <c r="D610" s="2"/>
      <c r="E610" s="2"/>
      <c r="F610" s="2"/>
      <c r="G610" s="2"/>
      <c r="I610" s="2"/>
      <c r="J610" s="2"/>
    </row>
    <row r="611" spans="3:10" ht="16.5" customHeight="1">
      <c r="C611" s="2"/>
      <c r="D611" s="2"/>
      <c r="E611" s="2"/>
      <c r="F611" s="2"/>
      <c r="G611" s="2"/>
      <c r="I611" s="2"/>
      <c r="J611" s="2"/>
    </row>
    <row r="612" spans="3:10" ht="16.5" customHeight="1">
      <c r="C612" s="2"/>
      <c r="D612" s="2"/>
      <c r="E612" s="2"/>
      <c r="F612" s="2"/>
      <c r="G612" s="2"/>
      <c r="I612" s="2"/>
      <c r="J612" s="2"/>
    </row>
    <row r="613" spans="3:10" ht="16.5" customHeight="1">
      <c r="C613" s="2"/>
      <c r="D613" s="2"/>
      <c r="E613" s="2"/>
      <c r="F613" s="2"/>
      <c r="G613" s="2"/>
      <c r="I613" s="2"/>
      <c r="J613" s="2"/>
    </row>
    <row r="614" spans="3:10" ht="16.5" customHeight="1">
      <c r="C614" s="2"/>
      <c r="D614" s="2"/>
      <c r="E614" s="2"/>
      <c r="F614" s="2"/>
      <c r="G614" s="2"/>
      <c r="I614" s="2"/>
      <c r="J614" s="2"/>
    </row>
    <row r="615" spans="3:10" ht="16.5" customHeight="1">
      <c r="C615" s="2"/>
      <c r="D615" s="2"/>
      <c r="E615" s="2"/>
      <c r="F615" s="2"/>
      <c r="G615" s="2"/>
      <c r="I615" s="2"/>
      <c r="J615" s="2"/>
    </row>
    <row r="616" spans="3:10" ht="16.5" customHeight="1">
      <c r="C616" s="2"/>
      <c r="D616" s="2"/>
      <c r="E616" s="2"/>
      <c r="F616" s="2"/>
      <c r="G616" s="2"/>
      <c r="I616" s="2"/>
      <c r="J616" s="2"/>
    </row>
    <row r="617" spans="3:10" ht="16.5" customHeight="1">
      <c r="C617" s="2"/>
      <c r="D617" s="2"/>
      <c r="E617" s="2"/>
      <c r="F617" s="2"/>
      <c r="G617" s="2"/>
      <c r="I617" s="2"/>
      <c r="J617" s="2"/>
    </row>
    <row r="618" spans="3:10" ht="16.5" customHeight="1">
      <c r="C618" s="2"/>
      <c r="D618" s="2"/>
      <c r="E618" s="2"/>
      <c r="F618" s="2"/>
      <c r="G618" s="2"/>
      <c r="I618" s="2"/>
      <c r="J618" s="2"/>
    </row>
    <row r="619" spans="3:10" ht="16.5" customHeight="1">
      <c r="C619" s="2"/>
      <c r="D619" s="2"/>
      <c r="E619" s="2"/>
      <c r="F619" s="2"/>
      <c r="G619" s="2"/>
      <c r="I619" s="2"/>
      <c r="J619" s="2"/>
    </row>
    <row r="620" spans="3:10" ht="16.5" customHeight="1">
      <c r="C620" s="2"/>
      <c r="D620" s="2"/>
      <c r="E620" s="2"/>
      <c r="F620" s="2"/>
      <c r="G620" s="2"/>
      <c r="I620" s="2"/>
      <c r="J620" s="2"/>
    </row>
    <row r="621" spans="3:10" ht="16.5" customHeight="1">
      <c r="C621" s="2"/>
      <c r="D621" s="2"/>
      <c r="E621" s="2"/>
      <c r="F621" s="2"/>
      <c r="G621" s="2"/>
      <c r="I621" s="2"/>
      <c r="J621" s="2"/>
    </row>
    <row r="622" spans="3:10" ht="16.5" customHeight="1">
      <c r="C622" s="2"/>
      <c r="D622" s="2"/>
      <c r="E622" s="2"/>
      <c r="F622" s="2"/>
      <c r="G622" s="2"/>
      <c r="I622" s="2"/>
      <c r="J622" s="2"/>
    </row>
    <row r="623" spans="3:10" ht="16.5" customHeight="1">
      <c r="C623" s="2"/>
      <c r="D623" s="2"/>
      <c r="E623" s="2"/>
      <c r="F623" s="2"/>
      <c r="G623" s="2"/>
      <c r="I623" s="2"/>
      <c r="J623" s="2"/>
    </row>
    <row r="624" spans="3:10" ht="16.5" customHeight="1">
      <c r="C624" s="2"/>
      <c r="D624" s="2"/>
      <c r="E624" s="2"/>
      <c r="F624" s="2"/>
      <c r="G624" s="2"/>
      <c r="I624" s="2"/>
      <c r="J624" s="2"/>
    </row>
    <row r="625" spans="3:10" ht="16.5" customHeight="1">
      <c r="C625" s="2"/>
      <c r="D625" s="2"/>
      <c r="E625" s="2"/>
      <c r="F625" s="2"/>
      <c r="G625" s="2"/>
      <c r="I625" s="2"/>
      <c r="J625" s="2"/>
    </row>
    <row r="626" spans="3:10" ht="16.5" customHeight="1">
      <c r="C626" s="2"/>
      <c r="D626" s="2"/>
      <c r="E626" s="2"/>
      <c r="F626" s="2"/>
      <c r="G626" s="2"/>
      <c r="I626" s="2"/>
      <c r="J626" s="2"/>
    </row>
    <row r="627" spans="3:10" ht="16.5" customHeight="1">
      <c r="C627" s="2"/>
      <c r="D627" s="2"/>
      <c r="E627" s="2"/>
      <c r="F627" s="2"/>
      <c r="G627" s="2"/>
      <c r="I627" s="2"/>
      <c r="J627" s="2"/>
    </row>
    <row r="628" spans="3:10" ht="16.5" customHeight="1">
      <c r="C628" s="2"/>
      <c r="D628" s="2"/>
      <c r="E628" s="2"/>
      <c r="F628" s="2"/>
      <c r="G628" s="2"/>
      <c r="I628" s="2"/>
      <c r="J628" s="2"/>
    </row>
    <row r="629" spans="3:10" ht="16.5" customHeight="1">
      <c r="C629" s="2"/>
      <c r="D629" s="2"/>
      <c r="E629" s="2"/>
      <c r="F629" s="2"/>
      <c r="G629" s="2"/>
      <c r="I629" s="2"/>
      <c r="J629" s="2"/>
    </row>
    <row r="630" spans="3:10" ht="16.5" customHeight="1">
      <c r="C630" s="2"/>
      <c r="D630" s="2"/>
      <c r="E630" s="2"/>
      <c r="F630" s="2"/>
      <c r="G630" s="2"/>
      <c r="I630" s="2"/>
      <c r="J630" s="2"/>
    </row>
    <row r="631" spans="3:10" ht="16.5" customHeight="1">
      <c r="C631" s="2"/>
      <c r="D631" s="2"/>
      <c r="E631" s="2"/>
      <c r="F631" s="2"/>
      <c r="G631" s="2"/>
      <c r="I631" s="2"/>
      <c r="J631" s="2"/>
    </row>
    <row r="632" spans="3:10" ht="16.5" customHeight="1">
      <c r="C632" s="2"/>
      <c r="D632" s="2"/>
      <c r="E632" s="2"/>
      <c r="F632" s="2"/>
      <c r="G632" s="2"/>
      <c r="I632" s="2"/>
      <c r="J632" s="2"/>
    </row>
    <row r="633" spans="3:10" ht="16.5" customHeight="1">
      <c r="C633" s="2"/>
      <c r="D633" s="2"/>
      <c r="E633" s="2"/>
      <c r="F633" s="2"/>
      <c r="G633" s="2"/>
      <c r="I633" s="2"/>
      <c r="J633" s="2"/>
    </row>
    <row r="634" spans="3:10" ht="16.5" customHeight="1">
      <c r="C634" s="2"/>
      <c r="D634" s="2"/>
      <c r="E634" s="2"/>
      <c r="F634" s="2"/>
      <c r="G634" s="2"/>
      <c r="I634" s="2"/>
      <c r="J634" s="2"/>
    </row>
    <row r="635" spans="3:10" ht="16.5" customHeight="1">
      <c r="C635" s="2"/>
      <c r="D635" s="2"/>
      <c r="E635" s="2"/>
      <c r="F635" s="2"/>
      <c r="G635" s="2"/>
      <c r="I635" s="2"/>
      <c r="J635" s="2"/>
    </row>
    <row r="636" spans="3:10" ht="16.5" customHeight="1">
      <c r="C636" s="2"/>
      <c r="D636" s="2"/>
      <c r="E636" s="2"/>
      <c r="F636" s="2"/>
      <c r="G636" s="2"/>
      <c r="I636" s="2"/>
      <c r="J636" s="2"/>
    </row>
    <row r="637" spans="3:10" ht="16.5" customHeight="1">
      <c r="C637" s="2"/>
      <c r="D637" s="2"/>
      <c r="E637" s="2"/>
      <c r="F637" s="2"/>
      <c r="G637" s="2"/>
      <c r="I637" s="2"/>
      <c r="J637" s="2"/>
    </row>
    <row r="638" spans="3:10" ht="16.5" customHeight="1">
      <c r="C638" s="2"/>
      <c r="D638" s="2"/>
      <c r="E638" s="2"/>
      <c r="F638" s="2"/>
      <c r="G638" s="2"/>
      <c r="I638" s="2"/>
      <c r="J638" s="2"/>
    </row>
    <row r="639" spans="3:10" ht="16.5" customHeight="1">
      <c r="C639" s="2"/>
      <c r="D639" s="2"/>
      <c r="E639" s="2"/>
      <c r="F639" s="2"/>
      <c r="G639" s="2"/>
      <c r="I639" s="2"/>
      <c r="J639" s="2"/>
    </row>
    <row r="640" spans="3:10" ht="16.5" customHeight="1">
      <c r="C640" s="2"/>
      <c r="D640" s="2"/>
      <c r="E640" s="2"/>
      <c r="F640" s="2"/>
      <c r="G640" s="2"/>
      <c r="I640" s="2"/>
      <c r="J640" s="2"/>
    </row>
    <row r="641" spans="3:10" ht="16.5" customHeight="1">
      <c r="C641" s="2"/>
      <c r="D641" s="2"/>
      <c r="E641" s="2"/>
      <c r="F641" s="2"/>
      <c r="G641" s="2"/>
      <c r="I641" s="2"/>
      <c r="J641" s="2"/>
    </row>
    <row r="642" spans="3:10" ht="16.5" customHeight="1">
      <c r="C642" s="2"/>
      <c r="D642" s="2"/>
      <c r="E642" s="2"/>
      <c r="F642" s="2"/>
      <c r="G642" s="2"/>
      <c r="I642" s="2"/>
      <c r="J642" s="2"/>
    </row>
    <row r="643" spans="3:10" ht="16.5" customHeight="1">
      <c r="C643" s="2"/>
      <c r="D643" s="2"/>
      <c r="E643" s="2"/>
      <c r="F643" s="2"/>
      <c r="G643" s="2"/>
      <c r="I643" s="2"/>
      <c r="J643" s="2"/>
    </row>
    <row r="644" spans="3:10" ht="16.5" customHeight="1">
      <c r="C644" s="2"/>
      <c r="D644" s="2"/>
      <c r="E644" s="2"/>
      <c r="F644" s="2"/>
      <c r="G644" s="2"/>
      <c r="I644" s="2"/>
      <c r="J644" s="2"/>
    </row>
    <row r="645" spans="3:10" ht="16.5" customHeight="1">
      <c r="C645" s="2"/>
      <c r="D645" s="2"/>
      <c r="E645" s="2"/>
      <c r="F645" s="2"/>
      <c r="G645" s="2"/>
      <c r="I645" s="2"/>
      <c r="J645" s="2"/>
    </row>
    <row r="646" spans="3:10" ht="16.5" customHeight="1">
      <c r="C646" s="2"/>
      <c r="D646" s="2"/>
      <c r="E646" s="2"/>
      <c r="F646" s="2"/>
      <c r="G646" s="2"/>
      <c r="I646" s="2"/>
      <c r="J646" s="2"/>
    </row>
    <row r="647" spans="3:10" ht="16.5" customHeight="1">
      <c r="C647" s="2"/>
      <c r="D647" s="2"/>
      <c r="E647" s="2"/>
      <c r="F647" s="2"/>
      <c r="G647" s="2"/>
      <c r="I647" s="2"/>
      <c r="J647" s="2"/>
    </row>
    <row r="648" spans="3:10" ht="16.5" customHeight="1">
      <c r="C648" s="2"/>
      <c r="D648" s="2"/>
      <c r="E648" s="2"/>
      <c r="F648" s="2"/>
      <c r="G648" s="2"/>
      <c r="I648" s="2"/>
      <c r="J648" s="2"/>
    </row>
    <row r="649" spans="3:10" ht="16.5" customHeight="1">
      <c r="C649" s="2"/>
      <c r="D649" s="2"/>
      <c r="E649" s="2"/>
      <c r="F649" s="2"/>
      <c r="G649" s="2"/>
      <c r="I649" s="2"/>
      <c r="J649" s="2"/>
    </row>
    <row r="650" spans="3:10" ht="16.5" customHeight="1">
      <c r="C650" s="2"/>
      <c r="D650" s="2"/>
      <c r="E650" s="2"/>
      <c r="F650" s="2"/>
      <c r="G650" s="2"/>
      <c r="I650" s="2"/>
      <c r="J650" s="2"/>
    </row>
    <row r="651" spans="3:10" ht="16.5" customHeight="1">
      <c r="C651" s="2"/>
      <c r="D651" s="2"/>
      <c r="E651" s="2"/>
      <c r="F651" s="2"/>
      <c r="G651" s="2"/>
      <c r="I651" s="2"/>
      <c r="J651" s="2"/>
    </row>
    <row r="652" spans="3:10" ht="16.5" customHeight="1">
      <c r="C652" s="2"/>
      <c r="D652" s="2"/>
      <c r="E652" s="2"/>
      <c r="F652" s="2"/>
      <c r="G652" s="2"/>
      <c r="I652" s="2"/>
      <c r="J652" s="2"/>
    </row>
    <row r="653" spans="3:10" ht="16.5" customHeight="1">
      <c r="C653" s="2"/>
      <c r="D653" s="2"/>
      <c r="E653" s="2"/>
      <c r="F653" s="2"/>
      <c r="G653" s="2"/>
      <c r="I653" s="2"/>
      <c r="J653" s="2"/>
    </row>
    <row r="654" spans="3:10" ht="16.5" customHeight="1">
      <c r="C654" s="2"/>
      <c r="D654" s="2"/>
      <c r="E654" s="2"/>
      <c r="F654" s="2"/>
      <c r="G654" s="2"/>
      <c r="I654" s="2"/>
      <c r="J654" s="2"/>
    </row>
    <row r="655" spans="3:10" ht="16.5" customHeight="1">
      <c r="C655" s="2"/>
      <c r="D655" s="2"/>
      <c r="E655" s="2"/>
      <c r="F655" s="2"/>
      <c r="G655" s="2"/>
      <c r="I655" s="2"/>
      <c r="J655" s="2"/>
    </row>
    <row r="656" spans="3:10" ht="16.5" customHeight="1">
      <c r="C656" s="2"/>
      <c r="D656" s="2"/>
      <c r="E656" s="2"/>
      <c r="F656" s="2"/>
      <c r="G656" s="2"/>
      <c r="I656" s="2"/>
      <c r="J656" s="2"/>
    </row>
    <row r="657" spans="3:10" ht="16.5" customHeight="1">
      <c r="C657" s="2"/>
      <c r="D657" s="2"/>
      <c r="E657" s="2"/>
      <c r="F657" s="2"/>
      <c r="G657" s="2"/>
      <c r="I657" s="2"/>
      <c r="J657" s="2"/>
    </row>
    <row r="658" spans="3:10" ht="16.5" customHeight="1">
      <c r="C658" s="2"/>
      <c r="D658" s="2"/>
      <c r="E658" s="2"/>
      <c r="F658" s="2"/>
      <c r="G658" s="2"/>
      <c r="I658" s="2"/>
      <c r="J658" s="2"/>
    </row>
    <row r="659" spans="3:10" ht="16.5" customHeight="1">
      <c r="C659" s="2"/>
      <c r="D659" s="2"/>
      <c r="E659" s="2"/>
      <c r="F659" s="2"/>
      <c r="G659" s="2"/>
      <c r="I659" s="2"/>
      <c r="J659" s="2"/>
    </row>
    <row r="660" spans="3:10" ht="16.5" customHeight="1">
      <c r="C660" s="2"/>
      <c r="D660" s="2"/>
      <c r="E660" s="2"/>
      <c r="F660" s="2"/>
      <c r="G660" s="2"/>
      <c r="I660" s="2"/>
      <c r="J660" s="2"/>
    </row>
    <row r="661" spans="3:10" ht="16.5" customHeight="1">
      <c r="C661" s="2"/>
      <c r="D661" s="2"/>
      <c r="E661" s="2"/>
      <c r="F661" s="2"/>
      <c r="G661" s="2"/>
      <c r="I661" s="2"/>
      <c r="J661" s="2"/>
    </row>
    <row r="662" spans="3:10" ht="16.5" customHeight="1">
      <c r="C662" s="2"/>
      <c r="D662" s="2"/>
      <c r="E662" s="2"/>
      <c r="F662" s="2"/>
      <c r="G662" s="2"/>
      <c r="I662" s="2"/>
      <c r="J662" s="2"/>
    </row>
    <row r="663" spans="3:10" ht="16.5" customHeight="1">
      <c r="C663" s="2"/>
      <c r="D663" s="2"/>
      <c r="E663" s="2"/>
      <c r="F663" s="2"/>
      <c r="G663" s="2"/>
      <c r="I663" s="2"/>
      <c r="J663" s="2"/>
    </row>
    <row r="664" spans="3:10" ht="16.5" customHeight="1">
      <c r="C664" s="2"/>
      <c r="D664" s="2"/>
      <c r="E664" s="2"/>
      <c r="F664" s="2"/>
      <c r="G664" s="2"/>
      <c r="I664" s="2"/>
      <c r="J664" s="2"/>
    </row>
    <row r="665" spans="3:10" ht="16.5" customHeight="1">
      <c r="C665" s="2"/>
      <c r="D665" s="2"/>
      <c r="E665" s="2"/>
      <c r="F665" s="2"/>
      <c r="G665" s="2"/>
      <c r="I665" s="2"/>
      <c r="J665" s="2"/>
    </row>
    <row r="666" spans="3:10" ht="16.5" customHeight="1">
      <c r="C666" s="2"/>
      <c r="D666" s="2"/>
      <c r="E666" s="2"/>
      <c r="F666" s="2"/>
      <c r="G666" s="2"/>
      <c r="I666" s="2"/>
      <c r="J666" s="2"/>
    </row>
    <row r="667" spans="3:10" ht="16.5" customHeight="1">
      <c r="C667" s="2"/>
      <c r="D667" s="2"/>
      <c r="E667" s="2"/>
      <c r="F667" s="2"/>
      <c r="G667" s="2"/>
      <c r="I667" s="2"/>
      <c r="J667" s="2"/>
    </row>
    <row r="668" spans="3:10" ht="16.5" customHeight="1">
      <c r="C668" s="2"/>
      <c r="D668" s="2"/>
      <c r="E668" s="2"/>
      <c r="F668" s="2"/>
      <c r="G668" s="2"/>
      <c r="I668" s="2"/>
      <c r="J668" s="2"/>
    </row>
    <row r="669" spans="3:10" ht="16.5" customHeight="1">
      <c r="C669" s="2"/>
      <c r="D669" s="2"/>
      <c r="E669" s="2"/>
      <c r="F669" s="2"/>
      <c r="G669" s="2"/>
      <c r="I669" s="2"/>
      <c r="J669" s="2"/>
    </row>
    <row r="670" spans="3:10" ht="16.5" customHeight="1">
      <c r="C670" s="2"/>
      <c r="D670" s="2"/>
      <c r="E670" s="2"/>
      <c r="F670" s="2"/>
      <c r="G670" s="2"/>
      <c r="I670" s="2"/>
      <c r="J670" s="2"/>
    </row>
    <row r="671" spans="3:10" ht="16.5" customHeight="1">
      <c r="C671" s="2"/>
      <c r="D671" s="2"/>
      <c r="E671" s="2"/>
      <c r="F671" s="2"/>
      <c r="G671" s="2"/>
      <c r="I671" s="2"/>
      <c r="J671" s="2"/>
    </row>
    <row r="672" spans="3:10" ht="16.5" customHeight="1">
      <c r="C672" s="2"/>
      <c r="D672" s="2"/>
      <c r="E672" s="2"/>
      <c r="F672" s="2"/>
      <c r="G672" s="2"/>
      <c r="I672" s="2"/>
      <c r="J672" s="2"/>
    </row>
    <row r="673" spans="3:10" ht="16.5" customHeight="1">
      <c r="C673" s="2"/>
      <c r="D673" s="2"/>
      <c r="E673" s="2"/>
      <c r="F673" s="2"/>
      <c r="G673" s="2"/>
      <c r="I673" s="2"/>
      <c r="J673" s="2"/>
    </row>
    <row r="674" spans="3:10" ht="16.5" customHeight="1">
      <c r="C674" s="2"/>
      <c r="D674" s="2"/>
      <c r="E674" s="2"/>
      <c r="F674" s="2"/>
      <c r="G674" s="2"/>
      <c r="I674" s="2"/>
      <c r="J674" s="2"/>
    </row>
    <row r="675" spans="3:10" ht="16.5" customHeight="1">
      <c r="C675" s="2"/>
      <c r="D675" s="2"/>
      <c r="E675" s="2"/>
      <c r="F675" s="2"/>
      <c r="G675" s="2"/>
      <c r="I675" s="2"/>
      <c r="J675" s="2"/>
    </row>
    <row r="676" spans="3:10" ht="16.5" customHeight="1">
      <c r="C676" s="2"/>
      <c r="D676" s="2"/>
      <c r="E676" s="2"/>
      <c r="F676" s="2"/>
      <c r="G676" s="2"/>
      <c r="I676" s="2"/>
      <c r="J676" s="2"/>
    </row>
    <row r="677" spans="3:10" ht="16.5" customHeight="1">
      <c r="C677" s="2"/>
      <c r="D677" s="2"/>
      <c r="E677" s="2"/>
      <c r="F677" s="2"/>
      <c r="G677" s="2"/>
      <c r="I677" s="2"/>
      <c r="J677" s="2"/>
    </row>
    <row r="678" spans="3:10" ht="16.5" customHeight="1">
      <c r="C678" s="2"/>
      <c r="D678" s="2"/>
      <c r="E678" s="2"/>
      <c r="F678" s="2"/>
      <c r="G678" s="2"/>
      <c r="I678" s="2"/>
      <c r="J678" s="2"/>
    </row>
    <row r="679" spans="3:10" ht="16.5" customHeight="1">
      <c r="C679" s="2"/>
      <c r="D679" s="2"/>
      <c r="E679" s="2"/>
      <c r="F679" s="2"/>
      <c r="G679" s="2"/>
      <c r="I679" s="2"/>
      <c r="J679" s="2"/>
    </row>
    <row r="680" spans="3:10" ht="16.5" customHeight="1">
      <c r="C680" s="2"/>
      <c r="D680" s="2"/>
      <c r="E680" s="2"/>
      <c r="F680" s="2"/>
      <c r="G680" s="2"/>
      <c r="I680" s="2"/>
      <c r="J680" s="2"/>
    </row>
    <row r="681" spans="3:10" ht="16.5" customHeight="1">
      <c r="C681" s="2"/>
      <c r="D681" s="2"/>
      <c r="E681" s="2"/>
      <c r="F681" s="2"/>
      <c r="G681" s="2"/>
      <c r="I681" s="2"/>
      <c r="J681" s="2"/>
    </row>
    <row r="682" spans="3:10" ht="16.5" customHeight="1">
      <c r="C682" s="2"/>
      <c r="D682" s="2"/>
      <c r="E682" s="2"/>
      <c r="F682" s="2"/>
      <c r="G682" s="2"/>
      <c r="I682" s="2"/>
      <c r="J682" s="2"/>
    </row>
    <row r="683" spans="3:10" ht="16.5" customHeight="1">
      <c r="C683" s="2"/>
      <c r="D683" s="2"/>
      <c r="E683" s="2"/>
      <c r="F683" s="2"/>
      <c r="G683" s="2"/>
      <c r="I683" s="2"/>
      <c r="J683" s="2"/>
    </row>
    <row r="684" spans="3:10" ht="16.5" customHeight="1">
      <c r="C684" s="2"/>
      <c r="D684" s="2"/>
      <c r="E684" s="2"/>
      <c r="F684" s="2"/>
      <c r="G684" s="2"/>
      <c r="I684" s="2"/>
      <c r="J684" s="2"/>
    </row>
    <row r="685" spans="3:10" ht="16.5" customHeight="1">
      <c r="C685" s="2"/>
      <c r="D685" s="2"/>
      <c r="E685" s="2"/>
      <c r="F685" s="2"/>
      <c r="G685" s="2"/>
      <c r="I685" s="2"/>
      <c r="J685" s="2"/>
    </row>
    <row r="686" spans="3:10" ht="16.5" customHeight="1">
      <c r="C686" s="2"/>
      <c r="D686" s="2"/>
      <c r="E686" s="2"/>
      <c r="F686" s="2"/>
      <c r="G686" s="2"/>
      <c r="I686" s="2"/>
      <c r="J686" s="2"/>
    </row>
    <row r="687" spans="3:10" ht="16.5" customHeight="1">
      <c r="C687" s="2"/>
      <c r="D687" s="2"/>
      <c r="E687" s="2"/>
      <c r="F687" s="2"/>
      <c r="G687" s="2"/>
      <c r="I687" s="2"/>
      <c r="J687" s="2"/>
    </row>
    <row r="688" spans="3:10" ht="16.5" customHeight="1">
      <c r="C688" s="2"/>
      <c r="D688" s="2"/>
      <c r="E688" s="2"/>
      <c r="F688" s="2"/>
      <c r="G688" s="2"/>
      <c r="I688" s="2"/>
      <c r="J688" s="2"/>
    </row>
    <row r="689" spans="3:10" ht="16.5" customHeight="1">
      <c r="C689" s="2"/>
      <c r="D689" s="2"/>
      <c r="E689" s="2"/>
      <c r="F689" s="2"/>
      <c r="G689" s="2"/>
      <c r="I689" s="2"/>
      <c r="J689" s="2"/>
    </row>
    <row r="690" spans="3:10" ht="16.5" customHeight="1">
      <c r="C690" s="2"/>
      <c r="D690" s="2"/>
      <c r="E690" s="2"/>
      <c r="F690" s="2"/>
      <c r="G690" s="2"/>
      <c r="I690" s="2"/>
      <c r="J690" s="2"/>
    </row>
    <row r="691" spans="3:10" ht="16.5" customHeight="1">
      <c r="C691" s="2"/>
      <c r="D691" s="2"/>
      <c r="E691" s="2"/>
      <c r="F691" s="2"/>
      <c r="G691" s="2"/>
      <c r="I691" s="2"/>
      <c r="J691" s="2"/>
    </row>
    <row r="692" spans="3:10" ht="16.5" customHeight="1">
      <c r="C692" s="2"/>
      <c r="D692" s="2"/>
      <c r="E692" s="2"/>
      <c r="F692" s="2"/>
      <c r="G692" s="2"/>
      <c r="I692" s="2"/>
      <c r="J692" s="2"/>
    </row>
    <row r="693" spans="3:10" ht="16.5" customHeight="1">
      <c r="C693" s="2"/>
      <c r="D693" s="2"/>
      <c r="E693" s="2"/>
      <c r="F693" s="2"/>
      <c r="G693" s="2"/>
      <c r="I693" s="2"/>
      <c r="J693" s="2"/>
    </row>
    <row r="694" spans="3:10" ht="16.5" customHeight="1">
      <c r="C694" s="2"/>
      <c r="D694" s="2"/>
      <c r="E694" s="2"/>
      <c r="F694" s="2"/>
      <c r="G694" s="2"/>
      <c r="I694" s="2"/>
      <c r="J694" s="2"/>
    </row>
    <row r="695" spans="3:10" ht="16.5" customHeight="1">
      <c r="C695" s="2"/>
      <c r="D695" s="2"/>
      <c r="E695" s="2"/>
      <c r="F695" s="2"/>
      <c r="G695" s="2"/>
      <c r="I695" s="2"/>
      <c r="J695" s="2"/>
    </row>
    <row r="696" spans="3:10" ht="16.5" customHeight="1">
      <c r="C696" s="2"/>
      <c r="D696" s="2"/>
      <c r="E696" s="2"/>
      <c r="F696" s="2"/>
      <c r="G696" s="2"/>
      <c r="I696" s="2"/>
      <c r="J696" s="2"/>
    </row>
    <row r="697" spans="3:10" ht="16.5" customHeight="1">
      <c r="C697" s="2"/>
      <c r="D697" s="2"/>
      <c r="E697" s="2"/>
      <c r="F697" s="2"/>
      <c r="G697" s="2"/>
      <c r="I697" s="2"/>
      <c r="J697" s="2"/>
    </row>
    <row r="698" spans="3:10" ht="16.5" customHeight="1">
      <c r="C698" s="2"/>
      <c r="D698" s="2"/>
      <c r="E698" s="2"/>
      <c r="F698" s="2"/>
      <c r="G698" s="2"/>
      <c r="I698" s="2"/>
      <c r="J698" s="2"/>
    </row>
    <row r="699" spans="3:10" ht="16.5" customHeight="1">
      <c r="C699" s="2"/>
      <c r="D699" s="2"/>
      <c r="E699" s="2"/>
      <c r="F699" s="2"/>
      <c r="G699" s="2"/>
      <c r="I699" s="2"/>
      <c r="J699" s="2"/>
    </row>
    <row r="700" spans="3:10" ht="16.5" customHeight="1">
      <c r="C700" s="2"/>
      <c r="D700" s="2"/>
      <c r="E700" s="2"/>
      <c r="F700" s="2"/>
      <c r="G700" s="2"/>
      <c r="I700" s="2"/>
      <c r="J700" s="2"/>
    </row>
    <row r="701" spans="3:10" ht="16.5" customHeight="1">
      <c r="C701" s="2"/>
      <c r="D701" s="2"/>
      <c r="E701" s="2"/>
      <c r="F701" s="2"/>
      <c r="G701" s="2"/>
      <c r="I701" s="2"/>
      <c r="J701" s="2"/>
    </row>
    <row r="702" spans="3:10" ht="16.5" customHeight="1">
      <c r="C702" s="2"/>
      <c r="D702" s="2"/>
      <c r="E702" s="2"/>
      <c r="F702" s="2"/>
      <c r="G702" s="2"/>
      <c r="I702" s="2"/>
      <c r="J702" s="2"/>
    </row>
    <row r="703" spans="3:10" ht="16.5" customHeight="1">
      <c r="C703" s="2"/>
      <c r="D703" s="2"/>
      <c r="E703" s="2"/>
      <c r="F703" s="2"/>
      <c r="G703" s="2"/>
      <c r="I703" s="2"/>
      <c r="J703" s="2"/>
    </row>
    <row r="704" spans="3:10" ht="16.5" customHeight="1">
      <c r="C704" s="2"/>
      <c r="D704" s="2"/>
      <c r="E704" s="2"/>
      <c r="F704" s="2"/>
      <c r="G704" s="2"/>
      <c r="I704" s="2"/>
      <c r="J704" s="2"/>
    </row>
    <row r="705" spans="3:10" ht="16.5" customHeight="1">
      <c r="C705" s="2"/>
      <c r="D705" s="2"/>
      <c r="E705" s="2"/>
      <c r="F705" s="2"/>
      <c r="G705" s="2"/>
      <c r="I705" s="2"/>
      <c r="J705" s="2"/>
    </row>
    <row r="706" spans="3:10" ht="16.5" customHeight="1">
      <c r="C706" s="2"/>
      <c r="D706" s="2"/>
      <c r="E706" s="2"/>
      <c r="F706" s="2"/>
      <c r="G706" s="2"/>
      <c r="I706" s="2"/>
      <c r="J706" s="2"/>
    </row>
    <row r="707" spans="3:10" ht="16.5" customHeight="1">
      <c r="C707" s="2"/>
      <c r="D707" s="2"/>
      <c r="E707" s="2"/>
      <c r="F707" s="2"/>
      <c r="G707" s="2"/>
      <c r="I707" s="2"/>
      <c r="J707" s="2"/>
    </row>
    <row r="708" spans="3:10" ht="16.5" customHeight="1">
      <c r="C708" s="2"/>
      <c r="D708" s="2"/>
      <c r="E708" s="2"/>
      <c r="F708" s="2"/>
      <c r="G708" s="2"/>
      <c r="I708" s="2"/>
      <c r="J708" s="2"/>
    </row>
    <row r="709" spans="3:10" ht="16.5" customHeight="1">
      <c r="C709" s="2"/>
      <c r="D709" s="2"/>
      <c r="E709" s="2"/>
      <c r="F709" s="2"/>
      <c r="G709" s="2"/>
      <c r="I709" s="2"/>
      <c r="J709" s="2"/>
    </row>
    <row r="710" spans="3:10" ht="16.5" customHeight="1">
      <c r="C710" s="2"/>
      <c r="D710" s="2"/>
      <c r="E710" s="2"/>
      <c r="F710" s="2"/>
      <c r="G710" s="2"/>
      <c r="I710" s="2"/>
      <c r="J710" s="2"/>
    </row>
    <row r="711" spans="3:10" ht="16.5" customHeight="1">
      <c r="C711" s="2"/>
      <c r="D711" s="2"/>
      <c r="E711" s="2"/>
      <c r="F711" s="2"/>
      <c r="G711" s="2"/>
      <c r="I711" s="2"/>
      <c r="J711" s="2"/>
    </row>
    <row r="712" spans="3:10" ht="16.5" customHeight="1">
      <c r="C712" s="2"/>
      <c r="D712" s="2"/>
      <c r="E712" s="2"/>
      <c r="F712" s="2"/>
      <c r="G712" s="2"/>
      <c r="I712" s="2"/>
      <c r="J712" s="2"/>
    </row>
    <row r="713" spans="3:10" ht="16.5" customHeight="1">
      <c r="C713" s="2"/>
      <c r="D713" s="2"/>
      <c r="E713" s="2"/>
      <c r="F713" s="2"/>
      <c r="G713" s="2"/>
      <c r="I713" s="2"/>
      <c r="J713" s="2"/>
    </row>
    <row r="714" spans="3:10" ht="16.5" customHeight="1">
      <c r="C714" s="2"/>
      <c r="D714" s="2"/>
      <c r="E714" s="2"/>
      <c r="F714" s="2"/>
      <c r="G714" s="2"/>
      <c r="I714" s="2"/>
      <c r="J714" s="2"/>
    </row>
    <row r="715" spans="3:10" ht="16.5" customHeight="1">
      <c r="C715" s="2"/>
      <c r="D715" s="2"/>
      <c r="E715" s="2"/>
      <c r="F715" s="2"/>
      <c r="G715" s="2"/>
      <c r="I715" s="2"/>
      <c r="J715" s="2"/>
    </row>
    <row r="716" spans="3:10" ht="16.5" customHeight="1">
      <c r="C716" s="2"/>
      <c r="D716" s="2"/>
      <c r="E716" s="2"/>
      <c r="F716" s="2"/>
      <c r="G716" s="2"/>
      <c r="I716" s="2"/>
      <c r="J716" s="2"/>
    </row>
    <row r="717" spans="3:10" ht="16.5" customHeight="1">
      <c r="C717" s="2"/>
      <c r="D717" s="2"/>
      <c r="E717" s="2"/>
      <c r="F717" s="2"/>
      <c r="G717" s="2"/>
      <c r="I717" s="2"/>
      <c r="J717" s="2"/>
    </row>
    <row r="718" spans="3:10" ht="16.5" customHeight="1">
      <c r="C718" s="2"/>
      <c r="D718" s="2"/>
      <c r="E718" s="2"/>
      <c r="F718" s="2"/>
      <c r="G718" s="2"/>
      <c r="I718" s="2"/>
      <c r="J718" s="2"/>
    </row>
    <row r="719" spans="3:10" ht="16.5" customHeight="1">
      <c r="C719" s="2"/>
      <c r="D719" s="2"/>
      <c r="E719" s="2"/>
      <c r="F719" s="2"/>
      <c r="G719" s="2"/>
      <c r="I719" s="2"/>
      <c r="J719" s="2"/>
    </row>
    <row r="720" spans="3:10" ht="16.5" customHeight="1">
      <c r="C720" s="2"/>
      <c r="D720" s="2"/>
      <c r="E720" s="2"/>
      <c r="F720" s="2"/>
      <c r="G720" s="2"/>
      <c r="I720" s="2"/>
      <c r="J720" s="2"/>
    </row>
    <row r="721" spans="3:10" ht="16.5" customHeight="1">
      <c r="C721" s="2"/>
      <c r="D721" s="2"/>
      <c r="E721" s="2"/>
      <c r="F721" s="2"/>
      <c r="G721" s="2"/>
      <c r="I721" s="2"/>
      <c r="J721" s="2"/>
    </row>
    <row r="722" spans="3:10" ht="16.5" customHeight="1">
      <c r="C722" s="2"/>
      <c r="D722" s="2"/>
      <c r="E722" s="2"/>
      <c r="F722" s="2"/>
      <c r="G722" s="2"/>
      <c r="I722" s="2"/>
      <c r="J722" s="2"/>
    </row>
    <row r="723" spans="3:10" ht="16.5" customHeight="1">
      <c r="C723" s="2"/>
      <c r="D723" s="2"/>
      <c r="E723" s="2"/>
      <c r="F723" s="2"/>
      <c r="G723" s="2"/>
      <c r="I723" s="2"/>
      <c r="J723" s="2"/>
    </row>
    <row r="724" spans="3:10" ht="16.5" customHeight="1">
      <c r="C724" s="2"/>
      <c r="D724" s="2"/>
      <c r="E724" s="2"/>
      <c r="F724" s="2"/>
      <c r="G724" s="2"/>
      <c r="I724" s="2"/>
      <c r="J724" s="2"/>
    </row>
    <row r="725" spans="3:10" ht="16.5" customHeight="1">
      <c r="C725" s="2"/>
      <c r="D725" s="2"/>
      <c r="E725" s="2"/>
      <c r="F725" s="2"/>
      <c r="G725" s="2"/>
      <c r="I725" s="2"/>
      <c r="J725" s="2"/>
    </row>
    <row r="726" spans="3:10" ht="16.5" customHeight="1">
      <c r="C726" s="2"/>
      <c r="D726" s="2"/>
      <c r="E726" s="2"/>
      <c r="F726" s="2"/>
      <c r="G726" s="2"/>
      <c r="I726" s="2"/>
      <c r="J726" s="2"/>
    </row>
    <row r="727" spans="3:10" ht="16.5" customHeight="1">
      <c r="C727" s="2"/>
      <c r="D727" s="2"/>
      <c r="E727" s="2"/>
      <c r="F727" s="2"/>
      <c r="G727" s="2"/>
      <c r="I727" s="2"/>
      <c r="J727" s="2"/>
    </row>
    <row r="728" spans="3:10" ht="16.5" customHeight="1">
      <c r="C728" s="2"/>
      <c r="D728" s="2"/>
      <c r="E728" s="2"/>
      <c r="F728" s="2"/>
      <c r="G728" s="2"/>
      <c r="I728" s="2"/>
      <c r="J728" s="2"/>
    </row>
    <row r="729" spans="3:10" ht="16.5" customHeight="1">
      <c r="C729" s="2"/>
      <c r="D729" s="2"/>
      <c r="E729" s="2"/>
      <c r="F729" s="2"/>
      <c r="G729" s="2"/>
      <c r="I729" s="2"/>
      <c r="J729" s="2"/>
    </row>
    <row r="730" spans="3:10" ht="16.5" customHeight="1">
      <c r="C730" s="2"/>
      <c r="D730" s="2"/>
      <c r="E730" s="2"/>
      <c r="F730" s="2"/>
      <c r="G730" s="2"/>
      <c r="I730" s="2"/>
      <c r="J730" s="2"/>
    </row>
    <row r="731" spans="3:10" ht="16.5" customHeight="1">
      <c r="C731" s="2"/>
      <c r="D731" s="2"/>
      <c r="E731" s="2"/>
      <c r="F731" s="2"/>
      <c r="G731" s="2"/>
      <c r="I731" s="2"/>
      <c r="J731" s="2"/>
    </row>
    <row r="732" spans="3:10" ht="16.5" customHeight="1">
      <c r="C732" s="2"/>
      <c r="D732" s="2"/>
      <c r="E732" s="2"/>
      <c r="F732" s="2"/>
      <c r="G732" s="2"/>
      <c r="I732" s="2"/>
      <c r="J732" s="2"/>
    </row>
    <row r="733" spans="3:10" ht="16.5" customHeight="1">
      <c r="C733" s="2"/>
      <c r="D733" s="2"/>
      <c r="E733" s="2"/>
      <c r="F733" s="2"/>
      <c r="G733" s="2"/>
      <c r="I733" s="2"/>
      <c r="J733" s="2"/>
    </row>
    <row r="734" spans="3:10" ht="16.5" customHeight="1">
      <c r="C734" s="2"/>
      <c r="D734" s="2"/>
      <c r="E734" s="2"/>
      <c r="F734" s="2"/>
      <c r="G734" s="2"/>
      <c r="I734" s="2"/>
      <c r="J734" s="2"/>
    </row>
    <row r="735" spans="3:10" ht="16.5" customHeight="1">
      <c r="C735" s="2"/>
      <c r="D735" s="2"/>
      <c r="E735" s="2"/>
      <c r="F735" s="2"/>
      <c r="G735" s="2"/>
      <c r="I735" s="2"/>
      <c r="J735" s="2"/>
    </row>
    <row r="736" spans="3:10" ht="16.5" customHeight="1">
      <c r="C736" s="2"/>
      <c r="D736" s="2"/>
      <c r="E736" s="2"/>
      <c r="F736" s="2"/>
      <c r="G736" s="2"/>
      <c r="I736" s="2"/>
      <c r="J736" s="2"/>
    </row>
    <row r="737" spans="3:10" ht="16.5" customHeight="1">
      <c r="C737" s="2"/>
      <c r="D737" s="2"/>
      <c r="E737" s="2"/>
      <c r="F737" s="2"/>
      <c r="G737" s="2"/>
      <c r="I737" s="2"/>
      <c r="J737" s="2"/>
    </row>
    <row r="738" spans="3:10" ht="16.5" customHeight="1">
      <c r="C738" s="2"/>
      <c r="D738" s="2"/>
      <c r="E738" s="2"/>
      <c r="F738" s="2"/>
      <c r="G738" s="2"/>
      <c r="I738" s="2"/>
      <c r="J738" s="2"/>
    </row>
    <row r="739" spans="3:10" ht="16.5" customHeight="1">
      <c r="C739" s="2"/>
      <c r="D739" s="2"/>
      <c r="E739" s="2"/>
      <c r="F739" s="2"/>
      <c r="G739" s="2"/>
      <c r="I739" s="2"/>
      <c r="J739" s="2"/>
    </row>
    <row r="740" spans="3:10" ht="16.5" customHeight="1">
      <c r="C740" s="2"/>
      <c r="D740" s="2"/>
      <c r="E740" s="2"/>
      <c r="F740" s="2"/>
      <c r="G740" s="2"/>
      <c r="I740" s="2"/>
      <c r="J740" s="2"/>
    </row>
    <row r="741" spans="3:10" ht="16.5" customHeight="1">
      <c r="C741" s="2"/>
      <c r="D741" s="2"/>
      <c r="E741" s="2"/>
      <c r="F741" s="2"/>
      <c r="G741" s="2"/>
      <c r="I741" s="2"/>
      <c r="J741" s="2"/>
    </row>
    <row r="742" spans="3:10" ht="16.5" customHeight="1">
      <c r="C742" s="2"/>
      <c r="D742" s="2"/>
      <c r="E742" s="2"/>
      <c r="F742" s="2"/>
      <c r="G742" s="2"/>
      <c r="I742" s="2"/>
      <c r="J742" s="2"/>
    </row>
    <row r="743" spans="3:10" ht="16.5" customHeight="1">
      <c r="C743" s="2"/>
      <c r="D743" s="2"/>
      <c r="E743" s="2"/>
      <c r="F743" s="2"/>
      <c r="G743" s="2"/>
      <c r="I743" s="2"/>
      <c r="J743" s="2"/>
    </row>
    <row r="744" spans="3:10" ht="16.5" customHeight="1">
      <c r="C744" s="2"/>
      <c r="D744" s="2"/>
      <c r="E744" s="2"/>
      <c r="F744" s="2"/>
      <c r="G744" s="2"/>
      <c r="I744" s="2"/>
      <c r="J744" s="2"/>
    </row>
    <row r="745" spans="3:10" ht="16.5" customHeight="1">
      <c r="C745" s="2"/>
      <c r="D745" s="2"/>
      <c r="E745" s="2"/>
      <c r="F745" s="2"/>
      <c r="G745" s="2"/>
      <c r="I745" s="2"/>
      <c r="J745" s="2"/>
    </row>
    <row r="746" spans="3:10" ht="16.5" customHeight="1">
      <c r="C746" s="2"/>
      <c r="D746" s="2"/>
      <c r="E746" s="2"/>
      <c r="F746" s="2"/>
      <c r="G746" s="2"/>
      <c r="I746" s="2"/>
      <c r="J746" s="2"/>
    </row>
    <row r="747" spans="3:10" ht="16.5" customHeight="1">
      <c r="C747" s="2"/>
      <c r="D747" s="2"/>
      <c r="E747" s="2"/>
      <c r="F747" s="2"/>
      <c r="G747" s="2"/>
      <c r="I747" s="2"/>
      <c r="J747" s="2"/>
    </row>
    <row r="748" spans="3:10" ht="16.5" customHeight="1">
      <c r="C748" s="2"/>
      <c r="D748" s="2"/>
      <c r="E748" s="2"/>
      <c r="F748" s="2"/>
      <c r="G748" s="2"/>
      <c r="I748" s="2"/>
      <c r="J748" s="2"/>
    </row>
    <row r="749" spans="3:10" ht="16.5" customHeight="1">
      <c r="C749" s="2"/>
      <c r="D749" s="2"/>
      <c r="E749" s="2"/>
      <c r="F749" s="2"/>
      <c r="G749" s="2"/>
      <c r="I749" s="2"/>
      <c r="J749" s="2"/>
    </row>
    <row r="750" spans="3:10" ht="16.5" customHeight="1">
      <c r="C750" s="2"/>
      <c r="D750" s="2"/>
      <c r="E750" s="2"/>
      <c r="F750" s="2"/>
      <c r="G750" s="2"/>
      <c r="I750" s="2"/>
      <c r="J750" s="2"/>
    </row>
    <row r="751" spans="3:10" ht="16.5" customHeight="1">
      <c r="C751" s="2"/>
      <c r="D751" s="2"/>
      <c r="E751" s="2"/>
      <c r="F751" s="2"/>
      <c r="G751" s="2"/>
      <c r="I751" s="2"/>
      <c r="J751" s="2"/>
    </row>
    <row r="752" spans="3:10" ht="16.5" customHeight="1">
      <c r="C752" s="2"/>
      <c r="D752" s="2"/>
      <c r="E752" s="2"/>
      <c r="F752" s="2"/>
      <c r="G752" s="2"/>
      <c r="I752" s="2"/>
      <c r="J752" s="2"/>
    </row>
    <row r="753" spans="3:10" ht="16.5" customHeight="1">
      <c r="C753" s="2"/>
      <c r="D753" s="2"/>
      <c r="E753" s="2"/>
      <c r="F753" s="2"/>
      <c r="G753" s="2"/>
      <c r="I753" s="2"/>
      <c r="J753" s="2"/>
    </row>
    <row r="754" spans="3:10" ht="16.5" customHeight="1">
      <c r="C754" s="2"/>
      <c r="D754" s="2"/>
      <c r="E754" s="2"/>
      <c r="F754" s="2"/>
      <c r="G754" s="2"/>
      <c r="I754" s="2"/>
      <c r="J754" s="2"/>
    </row>
    <row r="755" spans="3:10" ht="16.5" customHeight="1">
      <c r="C755" s="2"/>
      <c r="D755" s="2"/>
      <c r="E755" s="2"/>
      <c r="F755" s="2"/>
      <c r="G755" s="2"/>
      <c r="I755" s="2"/>
      <c r="J755" s="2"/>
    </row>
    <row r="756" spans="3:10" ht="16.5" customHeight="1">
      <c r="C756" s="2"/>
      <c r="D756" s="2"/>
      <c r="E756" s="2"/>
      <c r="F756" s="2"/>
      <c r="G756" s="2"/>
      <c r="I756" s="2"/>
      <c r="J756" s="2"/>
    </row>
    <row r="757" spans="3:10" ht="16.5" customHeight="1">
      <c r="C757" s="2"/>
      <c r="D757" s="2"/>
      <c r="E757" s="2"/>
      <c r="F757" s="2"/>
      <c r="G757" s="2"/>
      <c r="I757" s="2"/>
      <c r="J757" s="2"/>
    </row>
    <row r="758" spans="3:10" ht="16.5" customHeight="1">
      <c r="C758" s="2"/>
      <c r="D758" s="2"/>
      <c r="E758" s="2"/>
      <c r="F758" s="2"/>
      <c r="G758" s="2"/>
      <c r="I758" s="2"/>
      <c r="J758" s="2"/>
    </row>
    <row r="759" spans="3:10" ht="16.5" customHeight="1">
      <c r="C759" s="2"/>
      <c r="D759" s="2"/>
      <c r="E759" s="2"/>
      <c r="F759" s="2"/>
      <c r="G759" s="2"/>
      <c r="I759" s="2"/>
      <c r="J759" s="2"/>
    </row>
    <row r="760" spans="3:10" ht="16.5" customHeight="1">
      <c r="C760" s="2"/>
      <c r="D760" s="2"/>
      <c r="E760" s="2"/>
      <c r="F760" s="2"/>
      <c r="G760" s="2"/>
      <c r="I760" s="2"/>
      <c r="J760" s="2"/>
    </row>
    <row r="761" spans="3:10" ht="16.5" customHeight="1">
      <c r="C761" s="2"/>
      <c r="D761" s="2"/>
      <c r="E761" s="2"/>
      <c r="F761" s="2"/>
      <c r="G761" s="2"/>
      <c r="I761" s="2"/>
      <c r="J761" s="2"/>
    </row>
    <row r="762" spans="3:10" ht="16.5" customHeight="1">
      <c r="C762" s="2"/>
      <c r="D762" s="2"/>
      <c r="E762" s="2"/>
      <c r="F762" s="2"/>
      <c r="G762" s="2"/>
      <c r="I762" s="2"/>
      <c r="J762" s="2"/>
    </row>
    <row r="763" spans="3:10" ht="16.5" customHeight="1">
      <c r="C763" s="2"/>
      <c r="D763" s="2"/>
      <c r="E763" s="2"/>
      <c r="F763" s="2"/>
      <c r="G763" s="2"/>
      <c r="I763" s="2"/>
      <c r="J763" s="2"/>
    </row>
    <row r="764" spans="3:10" ht="16.5" customHeight="1">
      <c r="C764" s="2"/>
      <c r="D764" s="2"/>
      <c r="E764" s="2"/>
      <c r="F764" s="2"/>
      <c r="G764" s="2"/>
      <c r="I764" s="2"/>
      <c r="J764" s="2"/>
    </row>
    <row r="765" spans="3:10" ht="16.5" customHeight="1">
      <c r="C765" s="2"/>
      <c r="D765" s="2"/>
      <c r="E765" s="2"/>
      <c r="F765" s="2"/>
      <c r="G765" s="2"/>
      <c r="I765" s="2"/>
      <c r="J765" s="2"/>
    </row>
    <row r="766" spans="3:10" ht="16.5" customHeight="1">
      <c r="C766" s="2"/>
      <c r="D766" s="2"/>
      <c r="E766" s="2"/>
      <c r="F766" s="2"/>
      <c r="G766" s="2"/>
      <c r="I766" s="2"/>
      <c r="J766" s="2"/>
    </row>
    <row r="767" spans="3:10" ht="16.5" customHeight="1">
      <c r="C767" s="2"/>
      <c r="D767" s="2"/>
      <c r="E767" s="2"/>
      <c r="F767" s="2"/>
      <c r="G767" s="2"/>
      <c r="I767" s="2"/>
      <c r="J767" s="2"/>
    </row>
    <row r="768" spans="3:10" ht="16.5" customHeight="1">
      <c r="C768" s="2"/>
      <c r="D768" s="2"/>
      <c r="E768" s="2"/>
      <c r="F768" s="2"/>
      <c r="G768" s="2"/>
      <c r="I768" s="2"/>
      <c r="J768" s="2"/>
    </row>
    <row r="769" spans="3:10" ht="16.5" customHeight="1">
      <c r="C769" s="2"/>
      <c r="D769" s="2"/>
      <c r="E769" s="2"/>
      <c r="F769" s="2"/>
      <c r="G769" s="2"/>
      <c r="I769" s="2"/>
      <c r="J769" s="2"/>
    </row>
    <row r="770" spans="3:10" ht="16.5" customHeight="1">
      <c r="C770" s="2"/>
      <c r="D770" s="2"/>
      <c r="E770" s="2"/>
      <c r="F770" s="2"/>
      <c r="G770" s="2"/>
      <c r="I770" s="2"/>
      <c r="J770" s="2"/>
    </row>
    <row r="771" spans="3:10" ht="16.5" customHeight="1">
      <c r="C771" s="2"/>
      <c r="D771" s="2"/>
      <c r="E771" s="2"/>
      <c r="F771" s="2"/>
      <c r="G771" s="2"/>
      <c r="I771" s="2"/>
      <c r="J771" s="2"/>
    </row>
    <row r="772" spans="3:10" ht="16.5" customHeight="1">
      <c r="C772" s="2"/>
      <c r="D772" s="2"/>
      <c r="E772" s="2"/>
      <c r="F772" s="2"/>
      <c r="G772" s="2"/>
      <c r="I772" s="2"/>
      <c r="J772" s="2"/>
    </row>
    <row r="773" spans="3:10" ht="16.5" customHeight="1">
      <c r="C773" s="2"/>
      <c r="D773" s="2"/>
      <c r="E773" s="2"/>
      <c r="F773" s="2"/>
      <c r="G773" s="2"/>
      <c r="I773" s="2"/>
      <c r="J773" s="2"/>
    </row>
    <row r="774" spans="3:10" ht="16.5" customHeight="1">
      <c r="C774" s="2"/>
      <c r="D774" s="2"/>
      <c r="E774" s="2"/>
      <c r="F774" s="2"/>
      <c r="G774" s="2"/>
      <c r="I774" s="2"/>
      <c r="J774" s="2"/>
    </row>
    <row r="775" spans="3:10" ht="16.5" customHeight="1">
      <c r="C775" s="2"/>
      <c r="D775" s="2"/>
      <c r="E775" s="2"/>
      <c r="F775" s="2"/>
      <c r="G775" s="2"/>
      <c r="I775" s="2"/>
      <c r="J775" s="2"/>
    </row>
    <row r="776" spans="3:10" ht="16.5" customHeight="1">
      <c r="C776" s="2"/>
      <c r="D776" s="2"/>
      <c r="E776" s="2"/>
      <c r="F776" s="2"/>
      <c r="G776" s="2"/>
      <c r="I776" s="2"/>
      <c r="J776" s="2"/>
    </row>
    <row r="777" spans="3:10" ht="16.5" customHeight="1">
      <c r="C777" s="2"/>
      <c r="D777" s="2"/>
      <c r="E777" s="2"/>
      <c r="F777" s="2"/>
      <c r="G777" s="2"/>
      <c r="I777" s="2"/>
      <c r="J777" s="2"/>
    </row>
    <row r="778" spans="3:10" ht="16.5" customHeight="1">
      <c r="C778" s="2"/>
      <c r="D778" s="2"/>
      <c r="E778" s="2"/>
      <c r="F778" s="2"/>
      <c r="G778" s="2"/>
      <c r="I778" s="2"/>
      <c r="J778" s="2"/>
    </row>
    <row r="779" spans="3:10" ht="16.5" customHeight="1">
      <c r="C779" s="2"/>
      <c r="D779" s="2"/>
      <c r="E779" s="2"/>
      <c r="F779" s="2"/>
      <c r="G779" s="2"/>
      <c r="I779" s="2"/>
      <c r="J779" s="2"/>
    </row>
    <row r="780" spans="3:10" ht="16.5" customHeight="1">
      <c r="C780" s="2"/>
      <c r="D780" s="2"/>
      <c r="E780" s="2"/>
      <c r="F780" s="2"/>
      <c r="G780" s="2"/>
      <c r="I780" s="2"/>
      <c r="J780" s="2"/>
    </row>
    <row r="781" spans="3:10" ht="16.5" customHeight="1">
      <c r="C781" s="2"/>
      <c r="D781" s="2"/>
      <c r="E781" s="2"/>
      <c r="F781" s="2"/>
      <c r="G781" s="2"/>
      <c r="I781" s="2"/>
      <c r="J781" s="2"/>
    </row>
    <row r="782" spans="3:10" ht="16.5" customHeight="1">
      <c r="C782" s="2"/>
      <c r="D782" s="2"/>
      <c r="E782" s="2"/>
      <c r="F782" s="2"/>
      <c r="G782" s="2"/>
      <c r="I782" s="2"/>
      <c r="J782" s="2"/>
    </row>
    <row r="783" spans="3:10" ht="16.5" customHeight="1">
      <c r="C783" s="2"/>
      <c r="D783" s="2"/>
      <c r="E783" s="2"/>
      <c r="F783" s="2"/>
      <c r="G783" s="2"/>
      <c r="I783" s="2"/>
      <c r="J783" s="2"/>
    </row>
    <row r="784" spans="3:10" ht="16.5" customHeight="1">
      <c r="C784" s="2"/>
      <c r="D784" s="2"/>
      <c r="E784" s="2"/>
      <c r="F784" s="2"/>
      <c r="G784" s="2"/>
      <c r="I784" s="2"/>
      <c r="J784" s="2"/>
    </row>
    <row r="785" spans="3:10" ht="16.5" customHeight="1">
      <c r="C785" s="2"/>
      <c r="D785" s="2"/>
      <c r="E785" s="2"/>
      <c r="F785" s="2"/>
      <c r="G785" s="2"/>
      <c r="I785" s="2"/>
      <c r="J785" s="2"/>
    </row>
    <row r="786" spans="3:10" ht="16.5" customHeight="1">
      <c r="C786" s="2"/>
      <c r="D786" s="2"/>
      <c r="E786" s="2"/>
      <c r="F786" s="2"/>
      <c r="G786" s="2"/>
      <c r="I786" s="2"/>
      <c r="J786" s="2"/>
    </row>
    <row r="787" spans="3:10" ht="16.5" customHeight="1">
      <c r="C787" s="2"/>
      <c r="D787" s="2"/>
      <c r="E787" s="2"/>
      <c r="F787" s="2"/>
      <c r="G787" s="2"/>
      <c r="I787" s="2"/>
      <c r="J787" s="2"/>
    </row>
    <row r="788" spans="3:10" ht="16.5" customHeight="1">
      <c r="C788" s="2"/>
      <c r="D788" s="2"/>
      <c r="E788" s="2"/>
      <c r="F788" s="2"/>
      <c r="G788" s="2"/>
      <c r="I788" s="2"/>
      <c r="J788" s="2"/>
    </row>
    <row r="789" spans="3:10" ht="16.5" customHeight="1">
      <c r="C789" s="2"/>
      <c r="D789" s="2"/>
      <c r="E789" s="2"/>
      <c r="F789" s="2"/>
      <c r="G789" s="2"/>
      <c r="I789" s="2"/>
      <c r="J789" s="2"/>
    </row>
    <row r="790" spans="3:10" ht="16.5" customHeight="1">
      <c r="C790" s="2"/>
      <c r="D790" s="2"/>
      <c r="E790" s="2"/>
      <c r="F790" s="2"/>
      <c r="G790" s="2"/>
      <c r="I790" s="2"/>
      <c r="J790" s="2"/>
    </row>
    <row r="791" spans="3:10" ht="16.5" customHeight="1">
      <c r="C791" s="2"/>
      <c r="D791" s="2"/>
      <c r="E791" s="2"/>
      <c r="F791" s="2"/>
      <c r="G791" s="2"/>
      <c r="I791" s="2"/>
      <c r="J791" s="2"/>
    </row>
    <row r="792" spans="3:10" ht="16.5" customHeight="1">
      <c r="C792" s="2"/>
      <c r="D792" s="2"/>
      <c r="E792" s="2"/>
      <c r="F792" s="2"/>
      <c r="G792" s="2"/>
      <c r="I792" s="2"/>
      <c r="J792" s="2"/>
    </row>
    <row r="793" spans="3:10" ht="16.5" customHeight="1">
      <c r="C793" s="2"/>
      <c r="D793" s="2"/>
      <c r="E793" s="2"/>
      <c r="F793" s="2"/>
      <c r="G793" s="2"/>
      <c r="I793" s="2"/>
      <c r="J793" s="2"/>
    </row>
    <row r="794" spans="3:10" ht="16.5" customHeight="1">
      <c r="C794" s="2"/>
      <c r="D794" s="2"/>
      <c r="E794" s="2"/>
      <c r="F794" s="2"/>
      <c r="G794" s="2"/>
      <c r="I794" s="2"/>
      <c r="J794" s="2"/>
    </row>
    <row r="795" spans="3:10" ht="16.5" customHeight="1">
      <c r="C795" s="2"/>
      <c r="D795" s="2"/>
      <c r="E795" s="2"/>
      <c r="F795" s="2"/>
      <c r="G795" s="2"/>
      <c r="I795" s="2"/>
      <c r="J795" s="2"/>
    </row>
    <row r="796" spans="3:10" ht="16.5" customHeight="1">
      <c r="C796" s="2"/>
      <c r="D796" s="2"/>
      <c r="E796" s="2"/>
      <c r="F796" s="2"/>
      <c r="G796" s="2"/>
      <c r="I796" s="2"/>
      <c r="J796" s="2"/>
    </row>
    <row r="797" spans="3:10" ht="16.5" customHeight="1">
      <c r="C797" s="2"/>
      <c r="D797" s="2"/>
      <c r="E797" s="2"/>
      <c r="F797" s="2"/>
      <c r="G797" s="2"/>
      <c r="I797" s="2"/>
      <c r="J797" s="2"/>
    </row>
    <row r="798" spans="3:10" ht="16.5" customHeight="1">
      <c r="C798" s="2"/>
      <c r="D798" s="2"/>
      <c r="E798" s="2"/>
      <c r="F798" s="2"/>
      <c r="G798" s="2"/>
      <c r="I798" s="2"/>
      <c r="J798" s="2"/>
    </row>
    <row r="799" spans="3:10" ht="16.5" customHeight="1">
      <c r="C799" s="2"/>
      <c r="D799" s="2"/>
      <c r="E799" s="2"/>
      <c r="F799" s="2"/>
      <c r="G799" s="2"/>
      <c r="I799" s="2"/>
      <c r="J799" s="2"/>
    </row>
    <row r="800" spans="3:10" ht="16.5" customHeight="1">
      <c r="C800" s="2"/>
      <c r="D800" s="2"/>
      <c r="E800" s="2"/>
      <c r="F800" s="2"/>
      <c r="G800" s="2"/>
      <c r="I800" s="2"/>
      <c r="J800" s="2"/>
    </row>
    <row r="801" spans="3:10" ht="16.5" customHeight="1">
      <c r="C801" s="2"/>
      <c r="D801" s="2"/>
      <c r="E801" s="2"/>
      <c r="F801" s="2"/>
      <c r="G801" s="2"/>
      <c r="I801" s="2"/>
      <c r="J801" s="2"/>
    </row>
    <row r="802" spans="3:10" ht="16.5" customHeight="1">
      <c r="C802" s="2"/>
      <c r="D802" s="2"/>
      <c r="E802" s="2"/>
      <c r="F802" s="2"/>
      <c r="G802" s="2"/>
      <c r="I802" s="2"/>
      <c r="J802" s="2"/>
    </row>
    <row r="803" spans="3:10" ht="16.5" customHeight="1">
      <c r="C803" s="2"/>
      <c r="D803" s="2"/>
      <c r="E803" s="2"/>
      <c r="F803" s="2"/>
      <c r="G803" s="2"/>
      <c r="I803" s="2"/>
      <c r="J803" s="2"/>
    </row>
    <row r="804" spans="3:10" ht="16.5" customHeight="1">
      <c r="C804" s="2"/>
      <c r="D804" s="2"/>
      <c r="E804" s="2"/>
      <c r="F804" s="2"/>
      <c r="G804" s="2"/>
      <c r="I804" s="2"/>
      <c r="J804" s="2"/>
    </row>
    <row r="805" spans="3:10" ht="16.5" customHeight="1">
      <c r="C805" s="2"/>
      <c r="D805" s="2"/>
      <c r="E805" s="2"/>
      <c r="F805" s="2"/>
      <c r="G805" s="2"/>
      <c r="I805" s="2"/>
      <c r="J805" s="2"/>
    </row>
    <row r="806" spans="3:10" ht="16.5" customHeight="1">
      <c r="C806" s="2"/>
      <c r="D806" s="2"/>
      <c r="E806" s="2"/>
      <c r="F806" s="2"/>
      <c r="G806" s="2"/>
      <c r="I806" s="2"/>
      <c r="J806" s="2"/>
    </row>
    <row r="807" spans="3:10" ht="16.5" customHeight="1">
      <c r="C807" s="2"/>
      <c r="D807" s="2"/>
      <c r="E807" s="2"/>
      <c r="F807" s="2"/>
      <c r="G807" s="2"/>
      <c r="I807" s="2"/>
      <c r="J807" s="2"/>
    </row>
    <row r="808" spans="3:10" ht="16.5" customHeight="1">
      <c r="C808" s="2"/>
      <c r="D808" s="2"/>
      <c r="E808" s="2"/>
      <c r="F808" s="2"/>
      <c r="G808" s="2"/>
      <c r="I808" s="2"/>
      <c r="J808" s="2"/>
    </row>
    <row r="809" spans="3:10" ht="16.5" customHeight="1">
      <c r="C809" s="2"/>
      <c r="D809" s="2"/>
      <c r="E809" s="2"/>
      <c r="F809" s="2"/>
      <c r="G809" s="2"/>
      <c r="I809" s="2"/>
      <c r="J809" s="2"/>
    </row>
    <row r="810" spans="3:10" ht="16.5" customHeight="1">
      <c r="C810" s="2"/>
      <c r="D810" s="2"/>
      <c r="E810" s="2"/>
      <c r="F810" s="2"/>
      <c r="G810" s="2"/>
      <c r="I810" s="2"/>
      <c r="J810" s="2"/>
    </row>
    <row r="811" spans="3:10" ht="16.5" customHeight="1">
      <c r="C811" s="2"/>
      <c r="D811" s="2"/>
      <c r="E811" s="2"/>
      <c r="F811" s="2"/>
      <c r="G811" s="2"/>
      <c r="I811" s="2"/>
      <c r="J811" s="2"/>
    </row>
    <row r="812" spans="3:10" ht="16.5" customHeight="1">
      <c r="C812" s="2"/>
      <c r="D812" s="2"/>
      <c r="E812" s="2"/>
      <c r="F812" s="2"/>
      <c r="G812" s="2"/>
      <c r="I812" s="2"/>
      <c r="J812" s="2"/>
    </row>
    <row r="813" spans="3:10" ht="16.5" customHeight="1">
      <c r="C813" s="2"/>
      <c r="D813" s="2"/>
      <c r="E813" s="2"/>
      <c r="F813" s="2"/>
      <c r="G813" s="2"/>
      <c r="I813" s="2"/>
      <c r="J813" s="2"/>
    </row>
    <row r="814" spans="3:10" ht="16.5" customHeight="1">
      <c r="C814" s="2"/>
      <c r="D814" s="2"/>
      <c r="E814" s="2"/>
      <c r="F814" s="2"/>
      <c r="G814" s="2"/>
      <c r="I814" s="2"/>
      <c r="J814" s="2"/>
    </row>
    <row r="815" spans="3:10" ht="16.5" customHeight="1">
      <c r="C815" s="2"/>
      <c r="D815" s="2"/>
      <c r="E815" s="2"/>
      <c r="F815" s="2"/>
      <c r="G815" s="2"/>
      <c r="I815" s="2"/>
      <c r="J815" s="2"/>
    </row>
    <row r="816" spans="3:10" ht="16.5" customHeight="1">
      <c r="C816" s="2"/>
      <c r="D816" s="2"/>
      <c r="E816" s="2"/>
      <c r="F816" s="2"/>
      <c r="G816" s="2"/>
      <c r="I816" s="2"/>
      <c r="J816" s="2"/>
    </row>
    <row r="817" spans="3:10" ht="16.5" customHeight="1">
      <c r="C817" s="2"/>
      <c r="D817" s="2"/>
      <c r="E817" s="2"/>
      <c r="F817" s="2"/>
      <c r="G817" s="2"/>
      <c r="I817" s="2"/>
      <c r="J817" s="2"/>
    </row>
    <row r="818" spans="3:10" ht="16.5" customHeight="1">
      <c r="C818" s="2"/>
      <c r="D818" s="2"/>
      <c r="E818" s="2"/>
      <c r="F818" s="2"/>
      <c r="G818" s="2"/>
      <c r="I818" s="2"/>
      <c r="J818" s="2"/>
    </row>
    <row r="819" spans="3:10" ht="16.5" customHeight="1">
      <c r="C819" s="2"/>
      <c r="D819" s="2"/>
      <c r="E819" s="2"/>
      <c r="F819" s="2"/>
      <c r="G819" s="2"/>
      <c r="I819" s="2"/>
      <c r="J819" s="2"/>
    </row>
    <row r="820" spans="3:10" ht="16.5" customHeight="1">
      <c r="C820" s="2"/>
      <c r="D820" s="2"/>
      <c r="E820" s="2"/>
      <c r="F820" s="2"/>
      <c r="G820" s="2"/>
      <c r="I820" s="2"/>
      <c r="J820" s="2"/>
    </row>
    <row r="821" spans="3:10" ht="16.5" customHeight="1">
      <c r="C821" s="2"/>
      <c r="D821" s="2"/>
      <c r="E821" s="2"/>
      <c r="F821" s="2"/>
      <c r="G821" s="2"/>
      <c r="I821" s="2"/>
      <c r="J821" s="2"/>
    </row>
    <row r="822" spans="3:10" ht="16.5" customHeight="1">
      <c r="C822" s="2"/>
      <c r="D822" s="2"/>
      <c r="E822" s="2"/>
      <c r="F822" s="2"/>
      <c r="G822" s="2"/>
      <c r="I822" s="2"/>
      <c r="J822" s="2"/>
    </row>
    <row r="823" spans="3:10" ht="16.5" customHeight="1">
      <c r="C823" s="2"/>
      <c r="D823" s="2"/>
      <c r="E823" s="2"/>
      <c r="F823" s="2"/>
      <c r="G823" s="2"/>
      <c r="I823" s="2"/>
      <c r="J823" s="2"/>
    </row>
    <row r="824" spans="3:10" ht="16.5" customHeight="1">
      <c r="C824" s="2"/>
      <c r="D824" s="2"/>
      <c r="E824" s="2"/>
      <c r="F824" s="2"/>
      <c r="G824" s="2"/>
      <c r="I824" s="2"/>
      <c r="J824" s="2"/>
    </row>
    <row r="825" spans="3:10" ht="16.5" customHeight="1">
      <c r="C825" s="2"/>
      <c r="D825" s="2"/>
      <c r="E825" s="2"/>
      <c r="F825" s="2"/>
      <c r="G825" s="2"/>
      <c r="I825" s="2"/>
      <c r="J825" s="2"/>
    </row>
    <row r="826" spans="3:10" ht="16.5" customHeight="1">
      <c r="C826" s="2"/>
      <c r="D826" s="2"/>
      <c r="E826" s="2"/>
      <c r="F826" s="2"/>
      <c r="G826" s="2"/>
      <c r="I826" s="2"/>
      <c r="J826" s="2"/>
    </row>
    <row r="827" spans="3:10" ht="16.5" customHeight="1">
      <c r="C827" s="2"/>
      <c r="D827" s="2"/>
      <c r="E827" s="2"/>
      <c r="F827" s="2"/>
      <c r="G827" s="2"/>
      <c r="I827" s="2"/>
      <c r="J827" s="2"/>
    </row>
    <row r="828" spans="3:10" ht="16.5" customHeight="1">
      <c r="C828" s="2"/>
      <c r="D828" s="2"/>
      <c r="E828" s="2"/>
      <c r="F828" s="2"/>
      <c r="G828" s="2"/>
      <c r="I828" s="2"/>
      <c r="J828" s="2"/>
    </row>
    <row r="829" spans="3:10" ht="16.5" customHeight="1">
      <c r="C829" s="2"/>
      <c r="D829" s="2"/>
      <c r="E829" s="2"/>
      <c r="F829" s="2"/>
      <c r="G829" s="2"/>
      <c r="I829" s="2"/>
      <c r="J829" s="2"/>
    </row>
    <row r="830" spans="3:10" ht="16.5" customHeight="1">
      <c r="C830" s="2"/>
      <c r="D830" s="2"/>
      <c r="E830" s="2"/>
      <c r="F830" s="2"/>
      <c r="G830" s="2"/>
      <c r="I830" s="2"/>
      <c r="J830" s="2"/>
    </row>
    <row r="831" spans="3:10" ht="16.5" customHeight="1">
      <c r="C831" s="2"/>
      <c r="D831" s="2"/>
      <c r="E831" s="2"/>
      <c r="F831" s="2"/>
      <c r="G831" s="2"/>
      <c r="I831" s="2"/>
      <c r="J831" s="2"/>
    </row>
    <row r="832" spans="3:10" ht="16.5" customHeight="1">
      <c r="C832" s="2"/>
      <c r="D832" s="2"/>
      <c r="E832" s="2"/>
      <c r="F832" s="2"/>
      <c r="G832" s="2"/>
      <c r="I832" s="2"/>
      <c r="J832" s="2"/>
    </row>
    <row r="833" spans="3:10" ht="16.5" customHeight="1">
      <c r="C833" s="2"/>
      <c r="D833" s="2"/>
      <c r="E833" s="2"/>
      <c r="F833" s="2"/>
      <c r="G833" s="2"/>
      <c r="I833" s="2"/>
      <c r="J833" s="2"/>
    </row>
    <row r="834" spans="3:10" ht="16.5" customHeight="1">
      <c r="C834" s="2"/>
      <c r="D834" s="2"/>
      <c r="E834" s="2"/>
      <c r="F834" s="2"/>
      <c r="G834" s="2"/>
      <c r="I834" s="2"/>
      <c r="J834" s="2"/>
    </row>
    <row r="835" spans="3:10" ht="16.5" customHeight="1">
      <c r="C835" s="2"/>
      <c r="D835" s="2"/>
      <c r="E835" s="2"/>
      <c r="F835" s="2"/>
      <c r="G835" s="2"/>
      <c r="I835" s="2"/>
      <c r="J835" s="2"/>
    </row>
    <row r="836" spans="3:10" ht="16.5" customHeight="1">
      <c r="C836" s="2"/>
      <c r="D836" s="2"/>
      <c r="E836" s="2"/>
      <c r="F836" s="2"/>
      <c r="G836" s="2"/>
      <c r="I836" s="2"/>
      <c r="J836" s="2"/>
    </row>
    <row r="837" spans="3:10" ht="16.5" customHeight="1">
      <c r="C837" s="2"/>
      <c r="D837" s="2"/>
      <c r="E837" s="2"/>
      <c r="F837" s="2"/>
      <c r="G837" s="2"/>
      <c r="I837" s="2"/>
      <c r="J837" s="2"/>
    </row>
    <row r="838" spans="3:10" ht="16.5" customHeight="1">
      <c r="C838" s="2"/>
      <c r="D838" s="2"/>
      <c r="E838" s="2"/>
      <c r="F838" s="2"/>
      <c r="G838" s="2"/>
      <c r="I838" s="2"/>
      <c r="J838" s="2"/>
    </row>
    <row r="839" spans="3:10" ht="16.5" customHeight="1">
      <c r="C839" s="2"/>
      <c r="D839" s="2"/>
      <c r="E839" s="2"/>
      <c r="F839" s="2"/>
      <c r="G839" s="2"/>
      <c r="I839" s="2"/>
      <c r="J839" s="2"/>
    </row>
    <row r="840" spans="3:10" ht="16.5" customHeight="1">
      <c r="C840" s="2"/>
      <c r="D840" s="2"/>
      <c r="E840" s="2"/>
      <c r="F840" s="2"/>
      <c r="G840" s="2"/>
      <c r="I840" s="2"/>
      <c r="J840" s="2"/>
    </row>
    <row r="841" spans="3:10" ht="16.5" customHeight="1">
      <c r="C841" s="2"/>
      <c r="D841" s="2"/>
      <c r="E841" s="2"/>
      <c r="F841" s="2"/>
      <c r="G841" s="2"/>
      <c r="I841" s="2"/>
      <c r="J841" s="2"/>
    </row>
    <row r="842" spans="3:10" ht="16.5" customHeight="1">
      <c r="C842" s="2"/>
      <c r="D842" s="2"/>
      <c r="E842" s="2"/>
      <c r="F842" s="2"/>
      <c r="G842" s="2"/>
      <c r="I842" s="2"/>
      <c r="J842" s="2"/>
    </row>
    <row r="843" spans="3:10" ht="16.5" customHeight="1">
      <c r="C843" s="2"/>
      <c r="D843" s="2"/>
      <c r="E843" s="2"/>
      <c r="F843" s="2"/>
      <c r="G843" s="2"/>
      <c r="I843" s="2"/>
      <c r="J843" s="2"/>
    </row>
    <row r="844" spans="3:10" ht="16.5" customHeight="1">
      <c r="C844" s="2"/>
      <c r="D844" s="2"/>
      <c r="E844" s="2"/>
      <c r="F844" s="2"/>
      <c r="G844" s="2"/>
      <c r="I844" s="2"/>
      <c r="J844" s="2"/>
    </row>
    <row r="845" spans="3:10" ht="16.5" customHeight="1">
      <c r="C845" s="2"/>
      <c r="D845" s="2"/>
      <c r="E845" s="2"/>
      <c r="F845" s="2"/>
      <c r="G845" s="2"/>
      <c r="I845" s="2"/>
      <c r="J845" s="2"/>
    </row>
    <row r="846" spans="3:10" ht="16.5" customHeight="1">
      <c r="C846" s="2"/>
      <c r="D846" s="2"/>
      <c r="E846" s="2"/>
      <c r="F846" s="2"/>
      <c r="G846" s="2"/>
      <c r="I846" s="2"/>
      <c r="J846" s="2"/>
    </row>
    <row r="847" spans="3:10" ht="16.5" customHeight="1">
      <c r="C847" s="2"/>
      <c r="D847" s="2"/>
      <c r="E847" s="2"/>
      <c r="F847" s="2"/>
      <c r="G847" s="2"/>
      <c r="I847" s="2"/>
      <c r="J847" s="2"/>
    </row>
    <row r="848" spans="3:10" ht="16.5" customHeight="1">
      <c r="C848" s="2"/>
      <c r="D848" s="2"/>
      <c r="E848" s="2"/>
      <c r="F848" s="2"/>
      <c r="G848" s="2"/>
      <c r="I848" s="2"/>
      <c r="J848" s="2"/>
    </row>
    <row r="849" spans="3:10" ht="16.5" customHeight="1">
      <c r="C849" s="2"/>
      <c r="D849" s="2"/>
      <c r="E849" s="2"/>
      <c r="F849" s="2"/>
      <c r="G849" s="2"/>
      <c r="I849" s="2"/>
      <c r="J849" s="2"/>
    </row>
    <row r="850" spans="3:10" ht="16.5" customHeight="1">
      <c r="C850" s="2"/>
      <c r="D850" s="2"/>
      <c r="E850" s="2"/>
      <c r="F850" s="2"/>
      <c r="G850" s="2"/>
      <c r="I850" s="2"/>
      <c r="J850" s="2"/>
    </row>
    <row r="851" spans="3:10" ht="16.5" customHeight="1">
      <c r="C851" s="2"/>
      <c r="D851" s="2"/>
      <c r="E851" s="2"/>
      <c r="F851" s="2"/>
      <c r="G851" s="2"/>
      <c r="I851" s="2"/>
      <c r="J851" s="2"/>
    </row>
    <row r="852" spans="3:10" ht="16.5" customHeight="1">
      <c r="C852" s="2"/>
      <c r="D852" s="2"/>
      <c r="E852" s="2"/>
      <c r="F852" s="2"/>
      <c r="G852" s="2"/>
      <c r="I852" s="2"/>
      <c r="J852" s="2"/>
    </row>
    <row r="853" spans="3:10" ht="16.5" customHeight="1">
      <c r="C853" s="2"/>
      <c r="D853" s="2"/>
      <c r="E853" s="2"/>
      <c r="F853" s="2"/>
      <c r="G853" s="2"/>
      <c r="I853" s="2"/>
      <c r="J853" s="2"/>
    </row>
    <row r="854" spans="3:10" ht="16.5" customHeight="1">
      <c r="C854" s="2"/>
      <c r="D854" s="2"/>
      <c r="E854" s="2"/>
      <c r="F854" s="2"/>
      <c r="G854" s="2"/>
      <c r="I854" s="2"/>
      <c r="J854" s="2"/>
    </row>
    <row r="855" spans="3:10" ht="16.5" customHeight="1">
      <c r="C855" s="2"/>
      <c r="D855" s="2"/>
      <c r="E855" s="2"/>
      <c r="F855" s="2"/>
      <c r="G855" s="2"/>
      <c r="I855" s="2"/>
      <c r="J855" s="2"/>
    </row>
    <row r="856" spans="3:10" ht="16.5" customHeight="1">
      <c r="C856" s="2"/>
      <c r="D856" s="2"/>
      <c r="E856" s="2"/>
      <c r="F856" s="2"/>
      <c r="G856" s="2"/>
      <c r="I856" s="2"/>
      <c r="J856" s="2"/>
    </row>
    <row r="857" spans="3:10" ht="16.5" customHeight="1">
      <c r="C857" s="2"/>
      <c r="D857" s="2"/>
      <c r="E857" s="2"/>
      <c r="F857" s="2"/>
      <c r="G857" s="2"/>
      <c r="I857" s="2"/>
      <c r="J857" s="2"/>
    </row>
    <row r="858" spans="3:10" ht="16.5" customHeight="1">
      <c r="C858" s="2"/>
      <c r="D858" s="2"/>
      <c r="E858" s="2"/>
      <c r="F858" s="2"/>
      <c r="G858" s="2"/>
      <c r="I858" s="2"/>
      <c r="J858" s="2"/>
    </row>
    <row r="859" spans="3:10" ht="16.5" customHeight="1">
      <c r="C859" s="2"/>
      <c r="D859" s="2"/>
      <c r="E859" s="2"/>
      <c r="F859" s="2"/>
      <c r="G859" s="2"/>
      <c r="I859" s="2"/>
      <c r="J859" s="2"/>
    </row>
    <row r="860" spans="3:10" ht="16.5" customHeight="1">
      <c r="C860" s="2"/>
      <c r="D860" s="2"/>
      <c r="E860" s="2"/>
      <c r="F860" s="2"/>
      <c r="G860" s="2"/>
      <c r="I860" s="2"/>
      <c r="J860" s="2"/>
    </row>
    <row r="861" spans="3:10" ht="16.5" customHeight="1">
      <c r="C861" s="2"/>
      <c r="D861" s="2"/>
      <c r="E861" s="2"/>
      <c r="F861" s="2"/>
      <c r="G861" s="2"/>
      <c r="I861" s="2"/>
      <c r="J861" s="2"/>
    </row>
    <row r="862" spans="3:10" ht="16.5" customHeight="1">
      <c r="C862" s="2"/>
      <c r="D862" s="2"/>
      <c r="E862" s="2"/>
      <c r="F862" s="2"/>
      <c r="G862" s="2"/>
      <c r="I862" s="2"/>
      <c r="J862" s="2"/>
    </row>
    <row r="863" spans="3:10" ht="16.5" customHeight="1">
      <c r="C863" s="2"/>
      <c r="D863" s="2"/>
      <c r="E863" s="2"/>
      <c r="F863" s="2"/>
      <c r="G863" s="2"/>
      <c r="I863" s="2"/>
      <c r="J863" s="2"/>
    </row>
    <row r="864" spans="3:10" ht="16.5" customHeight="1">
      <c r="C864" s="2"/>
      <c r="D864" s="2"/>
      <c r="E864" s="2"/>
      <c r="F864" s="2"/>
      <c r="G864" s="2"/>
      <c r="I864" s="2"/>
      <c r="J864" s="2"/>
    </row>
    <row r="865" spans="3:10" ht="16.5" customHeight="1">
      <c r="C865" s="2"/>
      <c r="D865" s="2"/>
      <c r="E865" s="2"/>
      <c r="F865" s="2"/>
      <c r="G865" s="2"/>
      <c r="I865" s="2"/>
      <c r="J865" s="2"/>
    </row>
    <row r="866" spans="3:10" ht="16.5" customHeight="1">
      <c r="C866" s="2"/>
      <c r="D866" s="2"/>
      <c r="E866" s="2"/>
      <c r="F866" s="2"/>
      <c r="G866" s="2"/>
      <c r="I866" s="2"/>
      <c r="J866" s="2"/>
    </row>
    <row r="867" spans="3:10" ht="16.5" customHeight="1">
      <c r="C867" s="2"/>
      <c r="D867" s="2"/>
      <c r="E867" s="2"/>
      <c r="F867" s="2"/>
      <c r="G867" s="2"/>
      <c r="I867" s="2"/>
      <c r="J867" s="2"/>
    </row>
    <row r="868" spans="3:10" ht="16.5" customHeight="1">
      <c r="C868" s="2"/>
      <c r="D868" s="2"/>
      <c r="E868" s="2"/>
      <c r="F868" s="2"/>
      <c r="G868" s="2"/>
      <c r="I868" s="2"/>
      <c r="J868" s="2"/>
    </row>
    <row r="869" spans="3:10" ht="16.5" customHeight="1">
      <c r="C869" s="2"/>
      <c r="D869" s="2"/>
      <c r="E869" s="2"/>
      <c r="F869" s="2"/>
      <c r="G869" s="2"/>
      <c r="I869" s="2"/>
      <c r="J869" s="2"/>
    </row>
    <row r="870" spans="3:10" ht="16.5" customHeight="1">
      <c r="C870" s="2"/>
      <c r="D870" s="2"/>
      <c r="E870" s="2"/>
      <c r="F870" s="2"/>
      <c r="G870" s="2"/>
      <c r="I870" s="2"/>
      <c r="J870" s="2"/>
    </row>
    <row r="871" spans="3:10" ht="16.5" customHeight="1">
      <c r="C871" s="2"/>
      <c r="D871" s="2"/>
      <c r="E871" s="2"/>
      <c r="F871" s="2"/>
      <c r="G871" s="2"/>
      <c r="I871" s="2"/>
      <c r="J871" s="2"/>
    </row>
    <row r="872" spans="3:10" ht="16.5" customHeight="1">
      <c r="C872" s="2"/>
      <c r="D872" s="2"/>
      <c r="E872" s="2"/>
      <c r="F872" s="2"/>
      <c r="G872" s="2"/>
      <c r="I872" s="2"/>
      <c r="J872" s="2"/>
    </row>
    <row r="873" spans="3:10" ht="16.5" customHeight="1">
      <c r="C873" s="2"/>
      <c r="D873" s="2"/>
      <c r="E873" s="2"/>
      <c r="F873" s="2"/>
      <c r="G873" s="2"/>
      <c r="I873" s="2"/>
      <c r="J873" s="2"/>
    </row>
    <row r="874" spans="3:10" ht="16.5" customHeight="1">
      <c r="C874" s="2"/>
      <c r="D874" s="2"/>
      <c r="E874" s="2"/>
      <c r="F874" s="2"/>
      <c r="G874" s="2"/>
      <c r="I874" s="2"/>
      <c r="J874" s="2"/>
    </row>
    <row r="875" spans="3:10" ht="16.5" customHeight="1">
      <c r="C875" s="2"/>
      <c r="D875" s="2"/>
      <c r="E875" s="2"/>
      <c r="F875" s="2"/>
      <c r="G875" s="2"/>
      <c r="I875" s="2"/>
      <c r="J875" s="2"/>
    </row>
    <row r="876" spans="3:10" ht="16.5" customHeight="1">
      <c r="C876" s="2"/>
      <c r="D876" s="2"/>
      <c r="E876" s="2"/>
      <c r="F876" s="2"/>
      <c r="G876" s="2"/>
      <c r="I876" s="2"/>
      <c r="J876" s="2"/>
    </row>
    <row r="877" spans="3:10" ht="16.5" customHeight="1">
      <c r="C877" s="2"/>
      <c r="D877" s="2"/>
      <c r="E877" s="2"/>
      <c r="F877" s="2"/>
      <c r="G877" s="2"/>
      <c r="I877" s="2"/>
      <c r="J877" s="2"/>
    </row>
    <row r="878" spans="3:10" ht="16.5" customHeight="1">
      <c r="C878" s="2"/>
      <c r="D878" s="2"/>
      <c r="E878" s="2"/>
      <c r="F878" s="2"/>
      <c r="G878" s="2"/>
      <c r="I878" s="2"/>
      <c r="J878" s="2"/>
    </row>
    <row r="879" spans="3:10" ht="16.5" customHeight="1">
      <c r="C879" s="2"/>
      <c r="D879" s="2"/>
      <c r="E879" s="2"/>
      <c r="F879" s="2"/>
      <c r="G879" s="2"/>
      <c r="I879" s="2"/>
      <c r="J879" s="2"/>
    </row>
    <row r="880" spans="3:10" ht="16.5" customHeight="1">
      <c r="C880" s="2"/>
      <c r="D880" s="2"/>
      <c r="E880" s="2"/>
      <c r="F880" s="2"/>
      <c r="G880" s="2"/>
      <c r="I880" s="2"/>
      <c r="J880" s="2"/>
    </row>
    <row r="881" spans="3:10" ht="16.5" customHeight="1">
      <c r="C881" s="2"/>
      <c r="D881" s="2"/>
      <c r="E881" s="2"/>
      <c r="F881" s="2"/>
      <c r="G881" s="2"/>
      <c r="I881" s="2"/>
      <c r="J881" s="2"/>
    </row>
    <row r="882" spans="3:10" ht="16.5" customHeight="1">
      <c r="C882" s="2"/>
      <c r="D882" s="2"/>
      <c r="E882" s="2"/>
      <c r="F882" s="2"/>
      <c r="G882" s="2"/>
      <c r="I882" s="2"/>
      <c r="J882" s="2"/>
    </row>
    <row r="883" spans="3:10" ht="16.5" customHeight="1">
      <c r="C883" s="2"/>
      <c r="D883" s="2"/>
      <c r="E883" s="2"/>
      <c r="F883" s="2"/>
      <c r="G883" s="2"/>
      <c r="I883" s="2"/>
      <c r="J883" s="2"/>
    </row>
    <row r="884" spans="3:10" ht="16.5" customHeight="1">
      <c r="C884" s="2"/>
      <c r="D884" s="2"/>
      <c r="E884" s="2"/>
      <c r="F884" s="2"/>
      <c r="G884" s="2"/>
      <c r="I884" s="2"/>
      <c r="J884" s="2"/>
    </row>
    <row r="885" spans="3:10" ht="16.5" customHeight="1">
      <c r="C885" s="2"/>
      <c r="D885" s="2"/>
      <c r="E885" s="2"/>
      <c r="F885" s="2"/>
      <c r="G885" s="2"/>
      <c r="I885" s="2"/>
      <c r="J885" s="2"/>
    </row>
    <row r="886" spans="3:10" ht="16.5" customHeight="1">
      <c r="C886" s="2"/>
      <c r="D886" s="2"/>
      <c r="E886" s="2"/>
      <c r="F886" s="2"/>
      <c r="G886" s="2"/>
      <c r="I886" s="2"/>
      <c r="J886" s="2"/>
    </row>
    <row r="887" spans="3:10" ht="16.5" customHeight="1">
      <c r="C887" s="2"/>
      <c r="D887" s="2"/>
      <c r="E887" s="2"/>
      <c r="F887" s="2"/>
      <c r="G887" s="2"/>
      <c r="I887" s="2"/>
      <c r="J887" s="2"/>
    </row>
    <row r="888" spans="3:10" ht="16.5" customHeight="1">
      <c r="C888" s="2"/>
      <c r="D888" s="2"/>
      <c r="E888" s="2"/>
      <c r="F888" s="2"/>
      <c r="G888" s="2"/>
      <c r="I888" s="2"/>
      <c r="J888" s="2"/>
    </row>
    <row r="889" spans="3:10" ht="16.5" customHeight="1">
      <c r="C889" s="2"/>
      <c r="D889" s="2"/>
      <c r="E889" s="2"/>
      <c r="F889" s="2"/>
      <c r="G889" s="2"/>
      <c r="I889" s="2"/>
      <c r="J889" s="2"/>
    </row>
    <row r="890" spans="3:10" ht="16.5" customHeight="1">
      <c r="C890" s="2"/>
      <c r="D890" s="2"/>
      <c r="E890" s="2"/>
      <c r="F890" s="2"/>
      <c r="G890" s="2"/>
      <c r="I890" s="2"/>
      <c r="J890" s="2"/>
    </row>
    <row r="891" spans="3:10" ht="16.5" customHeight="1">
      <c r="C891" s="2"/>
      <c r="D891" s="2"/>
      <c r="E891" s="2"/>
      <c r="F891" s="2"/>
      <c r="G891" s="2"/>
      <c r="I891" s="2"/>
      <c r="J891" s="2"/>
    </row>
    <row r="892" spans="3:10" ht="16.5" customHeight="1">
      <c r="C892" s="2"/>
      <c r="D892" s="2"/>
      <c r="E892" s="2"/>
      <c r="F892" s="2"/>
      <c r="G892" s="2"/>
      <c r="I892" s="2"/>
      <c r="J892" s="2"/>
    </row>
    <row r="893" spans="3:10" ht="16.5" customHeight="1">
      <c r="C893" s="2"/>
      <c r="D893" s="2"/>
      <c r="E893" s="2"/>
      <c r="F893" s="2"/>
      <c r="G893" s="2"/>
      <c r="I893" s="2"/>
      <c r="J893" s="2"/>
    </row>
    <row r="894" spans="3:10" ht="16.5" customHeight="1">
      <c r="C894" s="2"/>
      <c r="D894" s="2"/>
      <c r="E894" s="2"/>
      <c r="F894" s="2"/>
      <c r="G894" s="2"/>
      <c r="I894" s="2"/>
      <c r="J894" s="2"/>
    </row>
    <row r="895" spans="3:10" ht="16.5" customHeight="1">
      <c r="C895" s="2"/>
      <c r="D895" s="2"/>
      <c r="E895" s="2"/>
      <c r="F895" s="2"/>
      <c r="G895" s="2"/>
      <c r="I895" s="2"/>
      <c r="J895" s="2"/>
    </row>
    <row r="896" spans="3:10" ht="16.5" customHeight="1">
      <c r="C896" s="2"/>
      <c r="D896" s="2"/>
      <c r="E896" s="2"/>
      <c r="F896" s="2"/>
      <c r="G896" s="2"/>
      <c r="I896" s="2"/>
      <c r="J896" s="2"/>
    </row>
    <row r="897" spans="3:10" ht="16.5" customHeight="1">
      <c r="C897" s="2"/>
      <c r="D897" s="2"/>
      <c r="E897" s="2"/>
      <c r="F897" s="2"/>
      <c r="G897" s="2"/>
      <c r="I897" s="2"/>
      <c r="J897" s="2"/>
    </row>
    <row r="898" spans="3:10" ht="16.5" customHeight="1">
      <c r="C898" s="2"/>
      <c r="D898" s="2"/>
      <c r="E898" s="2"/>
      <c r="F898" s="2"/>
      <c r="G898" s="2"/>
      <c r="I898" s="2"/>
      <c r="J898" s="2"/>
    </row>
    <row r="899" spans="3:10" ht="16.5" customHeight="1">
      <c r="C899" s="2"/>
      <c r="D899" s="2"/>
      <c r="E899" s="2"/>
      <c r="F899" s="2"/>
      <c r="G899" s="2"/>
      <c r="I899" s="2"/>
      <c r="J899" s="2"/>
    </row>
    <row r="900" spans="3:10" ht="16.5" customHeight="1">
      <c r="C900" s="2"/>
      <c r="D900" s="2"/>
      <c r="E900" s="2"/>
      <c r="F900" s="2"/>
      <c r="G900" s="2"/>
      <c r="I900" s="2"/>
      <c r="J900" s="2"/>
    </row>
    <row r="901" spans="3:10" ht="16.5" customHeight="1">
      <c r="C901" s="2"/>
      <c r="D901" s="2"/>
      <c r="E901" s="2"/>
      <c r="F901" s="2"/>
      <c r="G901" s="2"/>
      <c r="I901" s="2"/>
      <c r="J901" s="2"/>
    </row>
    <row r="902" spans="3:10" ht="16.5" customHeight="1">
      <c r="C902" s="2"/>
      <c r="D902" s="2"/>
      <c r="E902" s="2"/>
      <c r="F902" s="2"/>
      <c r="G902" s="2"/>
      <c r="I902" s="2"/>
      <c r="J902" s="2"/>
    </row>
    <row r="903" spans="3:10" ht="16.5" customHeight="1">
      <c r="C903" s="2"/>
      <c r="D903" s="2"/>
      <c r="E903" s="2"/>
      <c r="F903" s="2"/>
      <c r="G903" s="2"/>
      <c r="I903" s="2"/>
      <c r="J903" s="2"/>
    </row>
    <row r="904" spans="3:10" ht="16.5" customHeight="1">
      <c r="C904" s="2"/>
      <c r="D904" s="2"/>
      <c r="E904" s="2"/>
      <c r="F904" s="2"/>
      <c r="G904" s="2"/>
      <c r="I904" s="2"/>
      <c r="J904" s="2"/>
    </row>
    <row r="905" spans="3:10" ht="16.5" customHeight="1">
      <c r="C905" s="2"/>
      <c r="D905" s="2"/>
      <c r="E905" s="2"/>
      <c r="F905" s="2"/>
      <c r="G905" s="2"/>
      <c r="I905" s="2"/>
      <c r="J905" s="2"/>
    </row>
    <row r="906" spans="3:10" ht="16.5" customHeight="1">
      <c r="C906" s="2"/>
      <c r="D906" s="2"/>
      <c r="E906" s="2"/>
      <c r="F906" s="2"/>
      <c r="G906" s="2"/>
      <c r="I906" s="2"/>
      <c r="J906" s="2"/>
    </row>
    <row r="907" spans="3:10" ht="16.5" customHeight="1">
      <c r="C907" s="2"/>
      <c r="D907" s="2"/>
      <c r="E907" s="2"/>
      <c r="F907" s="2"/>
      <c r="G907" s="2"/>
      <c r="I907" s="2"/>
      <c r="J907" s="2"/>
    </row>
    <row r="908" spans="3:10" ht="16.5" customHeight="1">
      <c r="C908" s="2"/>
      <c r="D908" s="2"/>
      <c r="E908" s="2"/>
      <c r="F908" s="2"/>
      <c r="G908" s="2"/>
      <c r="I908" s="2"/>
      <c r="J908" s="2"/>
    </row>
    <row r="909" spans="3:10" ht="16.5" customHeight="1">
      <c r="C909" s="2"/>
      <c r="D909" s="2"/>
      <c r="E909" s="2"/>
      <c r="F909" s="2"/>
      <c r="G909" s="2"/>
      <c r="I909" s="2"/>
      <c r="J909" s="2"/>
    </row>
    <row r="910" spans="3:10" ht="16.5" customHeight="1">
      <c r="C910" s="2"/>
      <c r="D910" s="2"/>
      <c r="E910" s="2"/>
      <c r="F910" s="2"/>
      <c r="G910" s="2"/>
      <c r="I910" s="2"/>
      <c r="J910" s="2"/>
    </row>
    <row r="911" spans="3:10" ht="16.5" customHeight="1">
      <c r="C911" s="2"/>
      <c r="D911" s="2"/>
      <c r="E911" s="2"/>
      <c r="F911" s="2"/>
      <c r="G911" s="2"/>
      <c r="I911" s="2"/>
      <c r="J911" s="2"/>
    </row>
    <row r="912" spans="3:10" ht="16.5" customHeight="1">
      <c r="C912" s="2"/>
      <c r="D912" s="2"/>
      <c r="E912" s="2"/>
      <c r="F912" s="2"/>
      <c r="G912" s="2"/>
      <c r="I912" s="2"/>
      <c r="J912" s="2"/>
    </row>
    <row r="913" spans="3:10" ht="16.5" customHeight="1">
      <c r="C913" s="2"/>
      <c r="D913" s="2"/>
      <c r="E913" s="2"/>
      <c r="F913" s="2"/>
      <c r="G913" s="2"/>
      <c r="I913" s="2"/>
      <c r="J913" s="2"/>
    </row>
    <row r="914" spans="3:10" ht="16.5" customHeight="1">
      <c r="C914" s="2"/>
      <c r="D914" s="2"/>
      <c r="E914" s="2"/>
      <c r="F914" s="2"/>
      <c r="G914" s="2"/>
      <c r="I914" s="2"/>
      <c r="J914" s="2"/>
    </row>
    <row r="915" spans="3:10" ht="16.5" customHeight="1">
      <c r="C915" s="2"/>
      <c r="D915" s="2"/>
      <c r="E915" s="2"/>
      <c r="F915" s="2"/>
      <c r="G915" s="2"/>
      <c r="I915" s="2"/>
      <c r="J915" s="2"/>
    </row>
    <row r="916" spans="3:10" ht="16.5" customHeight="1">
      <c r="C916" s="2"/>
      <c r="D916" s="2"/>
      <c r="E916" s="2"/>
      <c r="F916" s="2"/>
      <c r="G916" s="2"/>
      <c r="I916" s="2"/>
      <c r="J916" s="2"/>
    </row>
    <row r="917" spans="3:10" ht="16.5" customHeight="1">
      <c r="C917" s="2"/>
      <c r="D917" s="2"/>
      <c r="E917" s="2"/>
      <c r="F917" s="2"/>
      <c r="G917" s="2"/>
      <c r="I917" s="2"/>
      <c r="J917" s="2"/>
    </row>
    <row r="918" spans="3:10" ht="16.5" customHeight="1">
      <c r="C918" s="2"/>
      <c r="D918" s="2"/>
      <c r="E918" s="2"/>
      <c r="F918" s="2"/>
      <c r="G918" s="2"/>
      <c r="I918" s="2"/>
      <c r="J918" s="2"/>
    </row>
    <row r="919" spans="3:10" ht="16.5" customHeight="1">
      <c r="C919" s="2"/>
      <c r="D919" s="2"/>
      <c r="E919" s="2"/>
      <c r="F919" s="2"/>
      <c r="G919" s="2"/>
      <c r="I919" s="2"/>
      <c r="J919" s="2"/>
    </row>
    <row r="920" spans="3:10" ht="16.5" customHeight="1">
      <c r="C920" s="2"/>
      <c r="D920" s="2"/>
      <c r="E920" s="2"/>
      <c r="F920" s="2"/>
      <c r="G920" s="2"/>
      <c r="I920" s="2"/>
      <c r="J920" s="2"/>
    </row>
    <row r="921" spans="3:10" ht="16.5" customHeight="1">
      <c r="C921" s="2"/>
      <c r="D921" s="2"/>
      <c r="E921" s="2"/>
      <c r="F921" s="2"/>
      <c r="G921" s="2"/>
      <c r="I921" s="2"/>
      <c r="J921" s="2"/>
    </row>
    <row r="922" spans="3:10" ht="16.5" customHeight="1">
      <c r="C922" s="2"/>
      <c r="D922" s="2"/>
      <c r="E922" s="2"/>
      <c r="F922" s="2"/>
      <c r="G922" s="2"/>
      <c r="I922" s="2"/>
      <c r="J922" s="2"/>
    </row>
    <row r="923" spans="3:10" ht="16.5" customHeight="1">
      <c r="C923" s="2"/>
      <c r="D923" s="2"/>
      <c r="E923" s="2"/>
      <c r="F923" s="2"/>
      <c r="G923" s="2"/>
      <c r="I923" s="2"/>
      <c r="J923" s="2"/>
    </row>
    <row r="924" spans="3:10" ht="16.5" customHeight="1">
      <c r="C924" s="2"/>
      <c r="D924" s="2"/>
      <c r="E924" s="2"/>
      <c r="F924" s="2"/>
      <c r="G924" s="2"/>
      <c r="I924" s="2"/>
      <c r="J924" s="2"/>
    </row>
    <row r="925" spans="3:10" ht="16.5" customHeight="1">
      <c r="C925" s="2"/>
      <c r="D925" s="2"/>
      <c r="E925" s="2"/>
      <c r="F925" s="2"/>
      <c r="G925" s="2"/>
      <c r="I925" s="2"/>
      <c r="J925" s="2"/>
    </row>
    <row r="926" spans="3:10" ht="16.5" customHeight="1">
      <c r="C926" s="2"/>
      <c r="D926" s="2"/>
      <c r="E926" s="2"/>
      <c r="F926" s="2"/>
      <c r="G926" s="2"/>
      <c r="I926" s="2"/>
      <c r="J926" s="2"/>
    </row>
    <row r="927" spans="3:10" ht="16.5" customHeight="1">
      <c r="C927" s="2"/>
      <c r="D927" s="2"/>
      <c r="E927" s="2"/>
      <c r="F927" s="2"/>
      <c r="G927" s="2"/>
      <c r="I927" s="2"/>
      <c r="J927" s="2"/>
    </row>
    <row r="928" spans="3:10" ht="16.5" customHeight="1">
      <c r="C928" s="2"/>
      <c r="D928" s="2"/>
      <c r="E928" s="2"/>
      <c r="F928" s="2"/>
      <c r="G928" s="2"/>
      <c r="I928" s="2"/>
      <c r="J928" s="2"/>
    </row>
    <row r="929" spans="3:10" ht="16.5" customHeight="1">
      <c r="C929" s="2"/>
      <c r="D929" s="2"/>
      <c r="E929" s="2"/>
      <c r="F929" s="2"/>
      <c r="G929" s="2"/>
      <c r="I929" s="2"/>
      <c r="J929" s="2"/>
    </row>
    <row r="930" spans="3:10" ht="16.5" customHeight="1">
      <c r="C930" s="2"/>
      <c r="D930" s="2"/>
      <c r="E930" s="2"/>
      <c r="F930" s="2"/>
      <c r="G930" s="2"/>
      <c r="I930" s="2"/>
      <c r="J930" s="2"/>
    </row>
    <row r="931" spans="3:10" ht="16.5" customHeight="1">
      <c r="C931" s="2"/>
      <c r="D931" s="2"/>
      <c r="E931" s="2"/>
      <c r="F931" s="2"/>
      <c r="G931" s="2"/>
      <c r="I931" s="2"/>
      <c r="J931" s="2"/>
    </row>
    <row r="932" spans="3:10" ht="16.5" customHeight="1">
      <c r="C932" s="2"/>
      <c r="D932" s="2"/>
      <c r="E932" s="2"/>
      <c r="F932" s="2"/>
      <c r="G932" s="2"/>
      <c r="I932" s="2"/>
      <c r="J932" s="2"/>
    </row>
    <row r="933" spans="3:10" ht="16.5" customHeight="1">
      <c r="C933" s="2"/>
      <c r="D933" s="2"/>
      <c r="E933" s="2"/>
      <c r="F933" s="2"/>
      <c r="G933" s="2"/>
      <c r="I933" s="2"/>
      <c r="J933" s="2"/>
    </row>
    <row r="934" spans="3:10" ht="16.5" customHeight="1">
      <c r="C934" s="2"/>
      <c r="D934" s="2"/>
      <c r="E934" s="2"/>
      <c r="F934" s="2"/>
      <c r="G934" s="2"/>
      <c r="I934" s="2"/>
      <c r="J934" s="2"/>
    </row>
    <row r="935" spans="3:10" ht="16.5" customHeight="1">
      <c r="C935" s="2"/>
      <c r="D935" s="2"/>
      <c r="E935" s="2"/>
      <c r="F935" s="2"/>
      <c r="G935" s="2"/>
      <c r="I935" s="2"/>
      <c r="J935" s="2"/>
    </row>
    <row r="936" spans="3:10" ht="16.5" customHeight="1">
      <c r="C936" s="2"/>
      <c r="D936" s="2"/>
      <c r="E936" s="2"/>
      <c r="F936" s="2"/>
      <c r="G936" s="2"/>
      <c r="I936" s="2"/>
      <c r="J936" s="2"/>
    </row>
    <row r="937" spans="3:10" ht="16.5" customHeight="1">
      <c r="C937" s="2"/>
      <c r="D937" s="2"/>
      <c r="E937" s="2"/>
      <c r="F937" s="2"/>
      <c r="G937" s="2"/>
      <c r="I937" s="2"/>
      <c r="J937" s="2"/>
    </row>
    <row r="938" spans="3:10" ht="16.5" customHeight="1">
      <c r="C938" s="2"/>
      <c r="D938" s="2"/>
      <c r="E938" s="2"/>
      <c r="F938" s="2"/>
      <c r="G938" s="2"/>
      <c r="I938" s="2"/>
      <c r="J938" s="2"/>
    </row>
    <row r="939" spans="3:10" ht="16.5" customHeight="1">
      <c r="C939" s="2"/>
      <c r="D939" s="2"/>
      <c r="E939" s="2"/>
      <c r="F939" s="2"/>
      <c r="G939" s="2"/>
      <c r="I939" s="2"/>
      <c r="J939" s="2"/>
    </row>
    <row r="940" spans="3:10" ht="16.5" customHeight="1">
      <c r="C940" s="2"/>
      <c r="D940" s="2"/>
      <c r="E940" s="2"/>
      <c r="F940" s="2"/>
      <c r="G940" s="2"/>
      <c r="I940" s="2"/>
      <c r="J940" s="2"/>
    </row>
    <row r="941" spans="3:10" ht="16.5" customHeight="1">
      <c r="C941" s="2"/>
      <c r="D941" s="2"/>
      <c r="E941" s="2"/>
      <c r="F941" s="2"/>
      <c r="G941" s="2"/>
      <c r="I941" s="2"/>
      <c r="J941" s="2"/>
    </row>
    <row r="942" spans="3:10" ht="16.5" customHeight="1">
      <c r="C942" s="2"/>
      <c r="D942" s="2"/>
      <c r="E942" s="2"/>
      <c r="F942" s="2"/>
      <c r="G942" s="2"/>
      <c r="I942" s="2"/>
      <c r="J942" s="2"/>
    </row>
    <row r="943" spans="3:10" ht="16.5" customHeight="1">
      <c r="C943" s="2"/>
      <c r="D943" s="2"/>
      <c r="E943" s="2"/>
      <c r="F943" s="2"/>
      <c r="G943" s="2"/>
      <c r="I943" s="2"/>
      <c r="J943" s="2"/>
    </row>
    <row r="944" spans="3:10" ht="16.5" customHeight="1">
      <c r="C944" s="2"/>
      <c r="D944" s="2"/>
      <c r="E944" s="2"/>
      <c r="F944" s="2"/>
      <c r="G944" s="2"/>
      <c r="I944" s="2"/>
      <c r="J944" s="2"/>
    </row>
    <row r="945" spans="3:10" ht="16.5" customHeight="1">
      <c r="C945" s="2"/>
      <c r="D945" s="2"/>
      <c r="E945" s="2"/>
      <c r="F945" s="2"/>
      <c r="G945" s="2"/>
      <c r="I945" s="2"/>
      <c r="J945" s="2"/>
    </row>
    <row r="946" spans="3:10" ht="16.5" customHeight="1">
      <c r="C946" s="2"/>
      <c r="D946" s="2"/>
      <c r="E946" s="2"/>
      <c r="F946" s="2"/>
      <c r="G946" s="2"/>
      <c r="I946" s="2"/>
      <c r="J946" s="2"/>
    </row>
    <row r="947" spans="3:10" ht="16.5" customHeight="1">
      <c r="C947" s="2"/>
      <c r="D947" s="2"/>
      <c r="E947" s="2"/>
      <c r="F947" s="2"/>
      <c r="G947" s="2"/>
      <c r="I947" s="2"/>
      <c r="J947" s="2"/>
    </row>
    <row r="948" spans="3:10" ht="16.5" customHeight="1">
      <c r="C948" s="2"/>
      <c r="D948" s="2"/>
      <c r="E948" s="2"/>
      <c r="F948" s="2"/>
      <c r="G948" s="2"/>
      <c r="I948" s="2"/>
      <c r="J948" s="2"/>
    </row>
    <row r="949" spans="3:10" ht="16.5" customHeight="1">
      <c r="C949" s="2"/>
      <c r="D949" s="2"/>
      <c r="E949" s="2"/>
      <c r="F949" s="2"/>
      <c r="G949" s="2"/>
      <c r="I949" s="2"/>
      <c r="J949" s="2"/>
    </row>
    <row r="950" spans="3:10" ht="16.5" customHeight="1">
      <c r="C950" s="2"/>
      <c r="D950" s="2"/>
      <c r="E950" s="2"/>
      <c r="F950" s="2"/>
      <c r="G950" s="2"/>
      <c r="I950" s="2"/>
      <c r="J950" s="2"/>
    </row>
    <row r="951" spans="3:10" ht="16.5" customHeight="1">
      <c r="C951" s="2"/>
      <c r="D951" s="2"/>
      <c r="E951" s="2"/>
      <c r="F951" s="2"/>
      <c r="G951" s="2"/>
      <c r="I951" s="2"/>
      <c r="J951" s="2"/>
    </row>
    <row r="952" spans="3:10" ht="16.5" customHeight="1">
      <c r="C952" s="2"/>
      <c r="D952" s="2"/>
      <c r="E952" s="2"/>
      <c r="F952" s="2"/>
      <c r="G952" s="2"/>
      <c r="I952" s="2"/>
      <c r="J952" s="2"/>
    </row>
    <row r="953" spans="3:10" ht="16.5" customHeight="1">
      <c r="C953" s="2"/>
      <c r="D953" s="2"/>
      <c r="E953" s="2"/>
      <c r="F953" s="2"/>
      <c r="G953" s="2"/>
      <c r="I953" s="2"/>
      <c r="J953" s="2"/>
    </row>
    <row r="954" spans="3:10" ht="16.5" customHeight="1">
      <c r="C954" s="2"/>
      <c r="D954" s="2"/>
      <c r="E954" s="2"/>
      <c r="F954" s="2"/>
      <c r="G954" s="2"/>
      <c r="I954" s="2"/>
      <c r="J954" s="2"/>
    </row>
    <row r="955" spans="3:10" ht="16.5" customHeight="1">
      <c r="C955" s="2"/>
      <c r="D955" s="2"/>
      <c r="E955" s="2"/>
      <c r="F955" s="2"/>
      <c r="G955" s="2"/>
      <c r="I955" s="2"/>
      <c r="J955" s="2"/>
    </row>
    <row r="956" spans="3:10" ht="16.5" customHeight="1">
      <c r="C956" s="2"/>
      <c r="D956" s="2"/>
      <c r="E956" s="2"/>
      <c r="F956" s="2"/>
      <c r="G956" s="2"/>
      <c r="I956" s="2"/>
      <c r="J956" s="2"/>
    </row>
    <row r="957" spans="3:10" ht="16.5" customHeight="1">
      <c r="C957" s="2"/>
      <c r="D957" s="2"/>
      <c r="E957" s="2"/>
      <c r="F957" s="2"/>
      <c r="G957" s="2"/>
      <c r="I957" s="2"/>
      <c r="J957" s="2"/>
    </row>
    <row r="958" spans="3:10" ht="16.5" customHeight="1">
      <c r="C958" s="2"/>
      <c r="D958" s="2"/>
      <c r="E958" s="2"/>
      <c r="F958" s="2"/>
      <c r="G958" s="2"/>
      <c r="I958" s="2"/>
      <c r="J958" s="2"/>
    </row>
    <row r="959" spans="3:10" ht="16.5" customHeight="1">
      <c r="C959" s="2"/>
      <c r="D959" s="2"/>
      <c r="E959" s="2"/>
      <c r="F959" s="2"/>
      <c r="G959" s="2"/>
      <c r="I959" s="2"/>
      <c r="J959" s="2"/>
    </row>
    <row r="960" spans="3:10" ht="16.5" customHeight="1">
      <c r="C960" s="2"/>
      <c r="D960" s="2"/>
      <c r="E960" s="2"/>
      <c r="F960" s="2"/>
      <c r="G960" s="2"/>
      <c r="I960" s="2"/>
      <c r="J960" s="2"/>
    </row>
    <row r="961" spans="3:10" ht="16.5" customHeight="1">
      <c r="C961" s="2"/>
      <c r="D961" s="2"/>
      <c r="E961" s="2"/>
      <c r="F961" s="2"/>
      <c r="G961" s="2"/>
      <c r="I961" s="2"/>
      <c r="J961" s="2"/>
    </row>
    <row r="962" spans="3:10" ht="16.5" customHeight="1">
      <c r="C962" s="2"/>
      <c r="D962" s="2"/>
      <c r="E962" s="2"/>
      <c r="F962" s="2"/>
      <c r="G962" s="2"/>
      <c r="I962" s="2"/>
      <c r="J962" s="2"/>
    </row>
    <row r="963" spans="3:10" ht="16.5" customHeight="1">
      <c r="C963" s="2"/>
      <c r="D963" s="2"/>
      <c r="E963" s="2"/>
      <c r="F963" s="2"/>
      <c r="G963" s="2"/>
      <c r="I963" s="2"/>
      <c r="J963" s="2"/>
    </row>
    <row r="964" spans="3:10" ht="16.5" customHeight="1">
      <c r="C964" s="2"/>
      <c r="D964" s="2"/>
      <c r="E964" s="2"/>
      <c r="F964" s="2"/>
      <c r="G964" s="2"/>
      <c r="I964" s="2"/>
      <c r="J964" s="2"/>
    </row>
    <row r="965" spans="3:10" ht="16.5" customHeight="1">
      <c r="C965" s="2"/>
      <c r="D965" s="2"/>
      <c r="E965" s="2"/>
      <c r="F965" s="2"/>
      <c r="G965" s="2"/>
      <c r="I965" s="2"/>
      <c r="J965" s="2"/>
    </row>
    <row r="966" spans="3:10" ht="16.5" customHeight="1">
      <c r="C966" s="2"/>
      <c r="D966" s="2"/>
      <c r="E966" s="2"/>
      <c r="F966" s="2"/>
      <c r="G966" s="2"/>
      <c r="I966" s="2"/>
      <c r="J966" s="2"/>
    </row>
    <row r="967" spans="3:10" ht="16.5" customHeight="1">
      <c r="C967" s="2"/>
      <c r="D967" s="2"/>
      <c r="E967" s="2"/>
      <c r="F967" s="2"/>
      <c r="G967" s="2"/>
      <c r="I967" s="2"/>
      <c r="J967" s="2"/>
    </row>
    <row r="968" spans="3:10" ht="16.5" customHeight="1">
      <c r="C968" s="2"/>
      <c r="D968" s="2"/>
      <c r="E968" s="2"/>
      <c r="F968" s="2"/>
      <c r="G968" s="2"/>
      <c r="I968" s="2"/>
      <c r="J968" s="2"/>
    </row>
    <row r="969" spans="3:10" ht="16.5" customHeight="1">
      <c r="C969" s="2"/>
      <c r="D969" s="2"/>
      <c r="E969" s="2"/>
      <c r="F969" s="2"/>
      <c r="G969" s="2"/>
      <c r="I969" s="2"/>
      <c r="J969" s="2"/>
    </row>
    <row r="970" spans="3:10" ht="16.5" customHeight="1">
      <c r="C970" s="2"/>
      <c r="D970" s="2"/>
      <c r="E970" s="2"/>
      <c r="F970" s="2"/>
      <c r="G970" s="2"/>
      <c r="I970" s="2"/>
      <c r="J970" s="2"/>
    </row>
    <row r="971" spans="3:10" ht="16.5" customHeight="1">
      <c r="C971" s="2"/>
      <c r="D971" s="2"/>
      <c r="E971" s="2"/>
      <c r="F971" s="2"/>
      <c r="G971" s="2"/>
      <c r="I971" s="2"/>
      <c r="J971" s="2"/>
    </row>
    <row r="972" spans="3:10" ht="16.5" customHeight="1">
      <c r="C972" s="2"/>
      <c r="D972" s="2"/>
      <c r="E972" s="2"/>
      <c r="F972" s="2"/>
      <c r="G972" s="2"/>
      <c r="I972" s="2"/>
      <c r="J972" s="2"/>
    </row>
    <row r="973" spans="3:10" ht="16.5" customHeight="1">
      <c r="C973" s="2"/>
      <c r="D973" s="2"/>
      <c r="E973" s="2"/>
      <c r="F973" s="2"/>
      <c r="G973" s="2"/>
      <c r="I973" s="2"/>
      <c r="J973" s="2"/>
    </row>
    <row r="974" spans="3:10" ht="16.5" customHeight="1">
      <c r="C974" s="2"/>
      <c r="D974" s="2"/>
      <c r="E974" s="2"/>
      <c r="F974" s="2"/>
      <c r="G974" s="2"/>
      <c r="I974" s="2"/>
      <c r="J974" s="2"/>
    </row>
    <row r="975" spans="3:10" ht="16.5" customHeight="1">
      <c r="C975" s="2"/>
      <c r="D975" s="2"/>
      <c r="E975" s="2"/>
      <c r="F975" s="2"/>
      <c r="G975" s="2"/>
      <c r="I975" s="2"/>
      <c r="J975" s="2"/>
    </row>
    <row r="976" spans="3:10" ht="16.5" customHeight="1">
      <c r="C976" s="2"/>
      <c r="D976" s="2"/>
      <c r="E976" s="2"/>
      <c r="F976" s="2"/>
      <c r="G976" s="2"/>
      <c r="I976" s="2"/>
      <c r="J976" s="2"/>
    </row>
    <row r="977" spans="3:10" ht="16.5" customHeight="1">
      <c r="C977" s="2"/>
      <c r="D977" s="2"/>
      <c r="E977" s="2"/>
      <c r="F977" s="2"/>
      <c r="G977" s="2"/>
      <c r="I977" s="2"/>
      <c r="J977" s="2"/>
    </row>
    <row r="978" spans="3:10" ht="16.5" customHeight="1">
      <c r="C978" s="2"/>
      <c r="D978" s="2"/>
      <c r="E978" s="2"/>
      <c r="F978" s="2"/>
      <c r="G978" s="2"/>
      <c r="I978" s="2"/>
      <c r="J978" s="2"/>
    </row>
    <row r="979" spans="3:10" ht="16.5" customHeight="1">
      <c r="C979" s="2"/>
      <c r="D979" s="2"/>
      <c r="E979" s="2"/>
      <c r="F979" s="2"/>
      <c r="G979" s="2"/>
      <c r="I979" s="2"/>
      <c r="J979" s="2"/>
    </row>
    <row r="980" spans="3:10" ht="16.5" customHeight="1">
      <c r="C980" s="2"/>
      <c r="D980" s="2"/>
      <c r="E980" s="2"/>
      <c r="F980" s="2"/>
      <c r="G980" s="2"/>
      <c r="I980" s="2"/>
      <c r="J980" s="2"/>
    </row>
    <row r="981" spans="3:10" ht="16.5" customHeight="1">
      <c r="C981" s="2"/>
      <c r="D981" s="2"/>
      <c r="E981" s="2"/>
      <c r="F981" s="2"/>
      <c r="G981" s="2"/>
      <c r="I981" s="2"/>
      <c r="J981" s="2"/>
    </row>
    <row r="982" spans="3:10" ht="16.5" customHeight="1">
      <c r="C982" s="2"/>
      <c r="D982" s="2"/>
      <c r="E982" s="2"/>
      <c r="F982" s="2"/>
      <c r="G982" s="2"/>
      <c r="I982" s="2"/>
      <c r="J982" s="2"/>
    </row>
    <row r="983" spans="3:10" ht="16.5" customHeight="1">
      <c r="C983" s="2"/>
      <c r="D983" s="2"/>
      <c r="E983" s="2"/>
      <c r="F983" s="2"/>
      <c r="G983" s="2"/>
      <c r="I983" s="2"/>
      <c r="J983" s="2"/>
    </row>
    <row r="984" spans="3:10" ht="16.5" customHeight="1">
      <c r="C984" s="2"/>
      <c r="D984" s="2"/>
      <c r="E984" s="2"/>
      <c r="F984" s="2"/>
      <c r="G984" s="2"/>
      <c r="I984" s="2"/>
      <c r="J984" s="2"/>
    </row>
    <row r="985" spans="3:10" ht="16.5" customHeight="1">
      <c r="C985" s="2"/>
      <c r="D985" s="2"/>
      <c r="E985" s="2"/>
      <c r="F985" s="2"/>
      <c r="G985" s="2"/>
      <c r="I985" s="2"/>
      <c r="J985" s="2"/>
    </row>
    <row r="986" spans="3:10" ht="16.5" customHeight="1">
      <c r="C986" s="2"/>
      <c r="D986" s="2"/>
      <c r="E986" s="2"/>
      <c r="F986" s="2"/>
      <c r="G986" s="2"/>
      <c r="I986" s="2"/>
      <c r="J986" s="2"/>
    </row>
    <row r="987" spans="3:10" ht="16.5" customHeight="1">
      <c r="C987" s="2"/>
      <c r="D987" s="2"/>
      <c r="E987" s="2"/>
      <c r="F987" s="2"/>
      <c r="G987" s="2"/>
      <c r="I987" s="2"/>
      <c r="J987" s="2"/>
    </row>
    <row r="988" spans="3:10" ht="16.5" customHeight="1">
      <c r="C988" s="2"/>
      <c r="D988" s="2"/>
      <c r="E988" s="2"/>
      <c r="F988" s="2"/>
      <c r="G988" s="2"/>
      <c r="I988" s="2"/>
      <c r="J988" s="2"/>
    </row>
    <row r="989" spans="3:10" ht="16.5" customHeight="1">
      <c r="C989" s="2"/>
      <c r="D989" s="2"/>
      <c r="E989" s="2"/>
      <c r="F989" s="2"/>
      <c r="G989" s="2"/>
      <c r="I989" s="2"/>
      <c r="J989" s="2"/>
    </row>
    <row r="990" spans="3:10" ht="16.5" customHeight="1">
      <c r="C990" s="2"/>
      <c r="D990" s="2"/>
      <c r="E990" s="2"/>
      <c r="F990" s="2"/>
      <c r="G990" s="2"/>
      <c r="I990" s="2"/>
      <c r="J990" s="2"/>
    </row>
    <row r="991" spans="3:10" ht="16.5" customHeight="1">
      <c r="C991" s="2"/>
      <c r="D991" s="2"/>
      <c r="E991" s="2"/>
      <c r="F991" s="2"/>
      <c r="G991" s="2"/>
      <c r="I991" s="2"/>
      <c r="J991" s="2"/>
    </row>
    <row r="992" spans="3:10" ht="16.5" customHeight="1">
      <c r="C992" s="2"/>
      <c r="D992" s="2"/>
      <c r="E992" s="2"/>
      <c r="F992" s="2"/>
      <c r="G992" s="2"/>
      <c r="I992" s="2"/>
      <c r="J992" s="2"/>
    </row>
    <row r="993" spans="3:10" ht="16.5" customHeight="1">
      <c r="C993" s="2"/>
      <c r="D993" s="2"/>
      <c r="E993" s="2"/>
      <c r="F993" s="2"/>
      <c r="G993" s="2"/>
      <c r="I993" s="2"/>
      <c r="J993" s="2"/>
    </row>
    <row r="994" spans="3:10" ht="16.5" customHeight="1">
      <c r="C994" s="2"/>
      <c r="D994" s="2"/>
      <c r="E994" s="2"/>
      <c r="F994" s="2"/>
      <c r="G994" s="2"/>
      <c r="I994" s="2"/>
      <c r="J994" s="2"/>
    </row>
    <row r="995" spans="3:10" ht="16.5" customHeight="1">
      <c r="C995" s="2"/>
      <c r="D995" s="2"/>
      <c r="E995" s="2"/>
      <c r="F995" s="2"/>
      <c r="G995" s="2"/>
      <c r="I995" s="2"/>
      <c r="J995" s="2"/>
    </row>
    <row r="996" spans="3:10" ht="16.5" customHeight="1">
      <c r="C996" s="2"/>
      <c r="D996" s="2"/>
      <c r="E996" s="2"/>
      <c r="F996" s="2"/>
      <c r="G996" s="2"/>
      <c r="I996" s="2"/>
      <c r="J996" s="2"/>
    </row>
    <row r="997" spans="3:10" ht="16.5" customHeight="1">
      <c r="C997" s="2"/>
      <c r="D997" s="2"/>
      <c r="E997" s="2"/>
      <c r="F997" s="2"/>
      <c r="G997" s="2"/>
      <c r="I997" s="2"/>
      <c r="J997" s="2"/>
    </row>
    <row r="998" spans="3:10" ht="16.5" customHeight="1">
      <c r="C998" s="2"/>
      <c r="D998" s="2"/>
      <c r="E998" s="2"/>
      <c r="F998" s="2"/>
      <c r="G998" s="2"/>
      <c r="I998" s="2"/>
      <c r="J998" s="2"/>
    </row>
    <row r="999" spans="3:10" ht="16.5" customHeight="1">
      <c r="C999" s="2"/>
      <c r="D999" s="2"/>
      <c r="E999" s="2"/>
      <c r="F999" s="2"/>
      <c r="G999" s="2"/>
      <c r="I999" s="2"/>
      <c r="J999" s="2"/>
    </row>
    <row r="1000" spans="3:10" ht="16.5" customHeight="1">
      <c r="C1000" s="2"/>
      <c r="D1000" s="2"/>
      <c r="E1000" s="2"/>
      <c r="F1000" s="2"/>
      <c r="G1000" s="2"/>
      <c r="I1000" s="2"/>
      <c r="J1000" s="2"/>
    </row>
    <row r="1001" spans="3:10" ht="16.5" customHeight="1">
      <c r="C1001" s="2"/>
      <c r="D1001" s="2"/>
      <c r="E1001" s="2"/>
      <c r="F1001" s="2"/>
      <c r="G1001" s="2"/>
      <c r="I1001" s="2"/>
      <c r="J1001" s="2"/>
    </row>
    <row r="1002" spans="3:10" ht="16.5" customHeight="1">
      <c r="C1002" s="2"/>
      <c r="D1002" s="2"/>
      <c r="E1002" s="2"/>
      <c r="F1002" s="2"/>
      <c r="G1002" s="2"/>
      <c r="I1002" s="2"/>
      <c r="J1002" s="2"/>
    </row>
    <row r="1003" spans="3:10" ht="16.5" customHeight="1">
      <c r="C1003" s="2"/>
      <c r="D1003" s="2"/>
      <c r="E1003" s="2"/>
      <c r="F1003" s="2"/>
      <c r="G1003" s="2"/>
      <c r="I1003" s="2"/>
      <c r="J1003" s="2"/>
    </row>
    <row r="1004" spans="3:10" ht="16.5" customHeight="1">
      <c r="C1004" s="2"/>
      <c r="D1004" s="2"/>
      <c r="E1004" s="2"/>
      <c r="F1004" s="2"/>
      <c r="G1004" s="2"/>
      <c r="I1004" s="2"/>
      <c r="J1004" s="2"/>
    </row>
    <row r="1005" spans="3:10" ht="16.5" customHeight="1">
      <c r="C1005" s="2"/>
      <c r="D1005" s="2"/>
      <c r="E1005" s="2"/>
      <c r="F1005" s="2"/>
      <c r="G1005" s="2"/>
      <c r="I1005" s="2"/>
      <c r="J1005" s="2"/>
    </row>
    <row r="1006" spans="3:10" ht="16.5" customHeight="1">
      <c r="C1006" s="2"/>
      <c r="D1006" s="2"/>
      <c r="E1006" s="2"/>
      <c r="F1006" s="2"/>
      <c r="G1006" s="2"/>
      <c r="I1006" s="2"/>
      <c r="J1006" s="2"/>
    </row>
    <row r="1007" spans="3:10" ht="16.5" customHeight="1">
      <c r="C1007" s="2"/>
      <c r="D1007" s="2"/>
      <c r="E1007" s="2"/>
      <c r="F1007" s="2"/>
      <c r="G1007" s="2"/>
      <c r="I1007" s="2"/>
      <c r="J1007" s="2"/>
    </row>
    <row r="1008" spans="3:10" ht="16.5" customHeight="1">
      <c r="C1008" s="2"/>
      <c r="D1008" s="2"/>
      <c r="E1008" s="2"/>
      <c r="F1008" s="2"/>
      <c r="G1008" s="2"/>
      <c r="I1008" s="2"/>
      <c r="J1008" s="2"/>
    </row>
    <row r="1009" spans="3:10" ht="16.5" customHeight="1">
      <c r="C1009" s="2"/>
      <c r="D1009" s="2"/>
      <c r="E1009" s="2"/>
      <c r="F1009" s="2"/>
      <c r="G1009" s="2"/>
      <c r="I1009" s="2"/>
      <c r="J1009" s="2"/>
    </row>
    <row r="1010" spans="3:10" ht="16.5" customHeight="1">
      <c r="C1010" s="2"/>
      <c r="D1010" s="2"/>
      <c r="E1010" s="2"/>
      <c r="F1010" s="2"/>
      <c r="G1010" s="2"/>
      <c r="I1010" s="2"/>
      <c r="J1010" s="2"/>
    </row>
    <row r="1011" spans="3:10" ht="16.5" customHeight="1">
      <c r="C1011" s="2"/>
      <c r="D1011" s="2"/>
      <c r="E1011" s="2"/>
      <c r="F1011" s="2"/>
      <c r="G1011" s="2"/>
      <c r="I1011" s="2"/>
      <c r="J1011" s="2"/>
    </row>
    <row r="1012" spans="3:10" ht="16.5" customHeight="1">
      <c r="C1012" s="2"/>
      <c r="D1012" s="2"/>
      <c r="E1012" s="2"/>
      <c r="F1012" s="2"/>
      <c r="G1012" s="2"/>
      <c r="I1012" s="2"/>
      <c r="J1012" s="2"/>
    </row>
    <row r="1013" spans="3:10" ht="16.5" customHeight="1">
      <c r="C1013" s="2"/>
      <c r="D1013" s="2"/>
      <c r="E1013" s="2"/>
      <c r="F1013" s="2"/>
      <c r="G1013" s="2"/>
      <c r="I1013" s="2"/>
      <c r="J1013" s="2"/>
    </row>
    <row r="1014" spans="3:10" ht="16.5" customHeight="1">
      <c r="C1014" s="2"/>
      <c r="D1014" s="2"/>
      <c r="E1014" s="2"/>
      <c r="F1014" s="2"/>
      <c r="G1014" s="2"/>
      <c r="I1014" s="2"/>
      <c r="J1014" s="2"/>
    </row>
    <row r="1015" spans="3:10" ht="16.5" customHeight="1">
      <c r="C1015" s="2"/>
      <c r="D1015" s="2"/>
      <c r="E1015" s="2"/>
      <c r="F1015" s="2"/>
      <c r="G1015" s="2"/>
      <c r="I1015" s="2"/>
      <c r="J1015" s="2"/>
    </row>
    <row r="1016" spans="3:10" ht="16.5" customHeight="1">
      <c r="C1016" s="2"/>
      <c r="D1016" s="2"/>
      <c r="E1016" s="2"/>
      <c r="F1016" s="2"/>
      <c r="G1016" s="2"/>
      <c r="I1016" s="2"/>
      <c r="J1016" s="2"/>
    </row>
    <row r="1017" spans="3:10" ht="16.5" customHeight="1">
      <c r="C1017" s="2"/>
      <c r="D1017" s="2"/>
      <c r="E1017" s="2"/>
      <c r="F1017" s="2"/>
      <c r="G1017" s="2"/>
      <c r="I1017" s="2"/>
      <c r="J1017" s="2"/>
    </row>
    <row r="1018" spans="3:10" ht="16.5" customHeight="1">
      <c r="C1018" s="2"/>
      <c r="D1018" s="2"/>
      <c r="E1018" s="2"/>
      <c r="F1018" s="2"/>
      <c r="G1018" s="2"/>
      <c r="I1018" s="2"/>
      <c r="J1018" s="2"/>
    </row>
    <row r="1019" spans="3:10" ht="16.5" customHeight="1">
      <c r="C1019" s="2"/>
      <c r="D1019" s="2"/>
      <c r="E1019" s="2"/>
      <c r="F1019" s="2"/>
      <c r="G1019" s="2"/>
      <c r="I1019" s="2"/>
      <c r="J1019" s="2"/>
    </row>
    <row r="1020" spans="3:10" ht="16.5" customHeight="1">
      <c r="C1020" s="2"/>
      <c r="D1020" s="2"/>
      <c r="E1020" s="2"/>
      <c r="F1020" s="2"/>
      <c r="G1020" s="2"/>
      <c r="I1020" s="2"/>
      <c r="J1020" s="2"/>
    </row>
    <row r="1021" spans="3:10" ht="16.5" customHeight="1">
      <c r="C1021" s="2"/>
      <c r="D1021" s="2"/>
      <c r="E1021" s="2"/>
      <c r="F1021" s="2"/>
      <c r="G1021" s="2"/>
      <c r="I1021" s="2"/>
      <c r="J1021" s="2"/>
    </row>
    <row r="1022" spans="3:10" ht="16.5" customHeight="1">
      <c r="C1022" s="2"/>
      <c r="D1022" s="2"/>
      <c r="E1022" s="2"/>
      <c r="F1022" s="2"/>
      <c r="G1022" s="2"/>
      <c r="I1022" s="2"/>
      <c r="J1022" s="2"/>
    </row>
    <row r="1023" spans="3:10" ht="16.5" customHeight="1">
      <c r="C1023" s="2"/>
      <c r="D1023" s="2"/>
      <c r="E1023" s="2"/>
      <c r="F1023" s="2"/>
      <c r="G1023" s="2"/>
      <c r="I1023" s="2"/>
      <c r="J1023" s="2"/>
    </row>
    <row r="1024" spans="3:10" ht="16.5" customHeight="1">
      <c r="C1024" s="2"/>
      <c r="D1024" s="2"/>
      <c r="E1024" s="2"/>
      <c r="F1024" s="2"/>
      <c r="G1024" s="2"/>
      <c r="I1024" s="2"/>
      <c r="J1024" s="2"/>
    </row>
    <row r="1025" spans="3:10" ht="16.5" customHeight="1">
      <c r="C1025" s="2"/>
      <c r="D1025" s="2"/>
      <c r="E1025" s="2"/>
      <c r="F1025" s="2"/>
      <c r="G1025" s="2"/>
      <c r="I1025" s="2"/>
      <c r="J1025" s="2"/>
    </row>
    <row r="1026" spans="3:10" ht="16.5" customHeight="1">
      <c r="C1026" s="2"/>
      <c r="D1026" s="2"/>
      <c r="E1026" s="2"/>
      <c r="F1026" s="2"/>
      <c r="G1026" s="2"/>
      <c r="I1026" s="2"/>
      <c r="J1026" s="2"/>
    </row>
    <row r="1027" spans="3:10" ht="16.5" customHeight="1">
      <c r="C1027" s="2"/>
      <c r="D1027" s="2"/>
      <c r="E1027" s="2"/>
      <c r="F1027" s="2"/>
      <c r="G1027" s="2"/>
      <c r="I1027" s="2"/>
      <c r="J1027" s="2"/>
    </row>
    <row r="1028" spans="3:10" ht="16.5" customHeight="1">
      <c r="C1028" s="2"/>
      <c r="D1028" s="2"/>
      <c r="E1028" s="2"/>
      <c r="F1028" s="2"/>
      <c r="G1028" s="2"/>
      <c r="I1028" s="2"/>
      <c r="J1028" s="2"/>
    </row>
    <row r="1029" spans="3:10" ht="16.5" customHeight="1">
      <c r="C1029" s="2"/>
      <c r="D1029" s="2"/>
      <c r="E1029" s="2"/>
      <c r="F1029" s="2"/>
      <c r="G1029" s="2"/>
      <c r="I1029" s="2"/>
      <c r="J1029" s="2"/>
    </row>
    <row r="1030" spans="3:10" ht="16.5" customHeight="1">
      <c r="C1030" s="2"/>
      <c r="D1030" s="2"/>
      <c r="E1030" s="2"/>
      <c r="F1030" s="2"/>
      <c r="G1030" s="2"/>
      <c r="I1030" s="2"/>
      <c r="J1030" s="2"/>
    </row>
    <row r="1031" spans="3:10" ht="16.5" customHeight="1">
      <c r="C1031" s="2"/>
      <c r="D1031" s="2"/>
      <c r="E1031" s="2"/>
      <c r="F1031" s="2"/>
      <c r="G1031" s="2"/>
      <c r="I1031" s="2"/>
      <c r="J1031" s="2"/>
    </row>
    <row r="1032" spans="3:10" ht="16.5" customHeight="1">
      <c r="C1032" s="2"/>
      <c r="D1032" s="2"/>
      <c r="E1032" s="2"/>
      <c r="F1032" s="2"/>
      <c r="G1032" s="2"/>
      <c r="I1032" s="2"/>
      <c r="J1032" s="2"/>
    </row>
    <row r="1033" spans="3:10" ht="16.5" customHeight="1">
      <c r="C1033" s="2"/>
      <c r="D1033" s="2"/>
      <c r="E1033" s="2"/>
      <c r="F1033" s="2"/>
      <c r="G1033" s="2"/>
      <c r="I1033" s="2"/>
      <c r="J1033" s="2"/>
    </row>
    <row r="1034" spans="3:10" ht="16.5" customHeight="1">
      <c r="C1034" s="2"/>
      <c r="D1034" s="2"/>
      <c r="E1034" s="2"/>
      <c r="F1034" s="2"/>
      <c r="G1034" s="2"/>
      <c r="I1034" s="2"/>
      <c r="J1034" s="2"/>
    </row>
    <row r="1035" spans="3:10" ht="16.5" customHeight="1">
      <c r="C1035" s="2"/>
      <c r="D1035" s="2"/>
      <c r="E1035" s="2"/>
      <c r="F1035" s="2"/>
      <c r="G1035" s="2"/>
      <c r="I1035" s="2"/>
      <c r="J1035" s="2"/>
    </row>
    <row r="1036" spans="3:10" ht="16.5" customHeight="1">
      <c r="C1036" s="2"/>
      <c r="D1036" s="2"/>
      <c r="E1036" s="2"/>
      <c r="F1036" s="2"/>
      <c r="G1036" s="2"/>
      <c r="I1036" s="2"/>
      <c r="J1036" s="2"/>
    </row>
    <row r="1037" spans="3:10" ht="16.5" customHeight="1">
      <c r="C1037" s="2"/>
      <c r="D1037" s="2"/>
      <c r="E1037" s="2"/>
      <c r="F1037" s="2"/>
      <c r="G1037" s="2"/>
      <c r="I1037" s="2"/>
      <c r="J1037" s="2"/>
    </row>
    <row r="1038" spans="3:10" ht="16.5" customHeight="1">
      <c r="C1038" s="2"/>
      <c r="D1038" s="2"/>
      <c r="E1038" s="2"/>
      <c r="F1038" s="2"/>
      <c r="G1038" s="2"/>
      <c r="I1038" s="2"/>
      <c r="J1038" s="2"/>
    </row>
    <row r="1039" spans="3:10" ht="16.5" customHeight="1">
      <c r="C1039" s="2"/>
      <c r="D1039" s="2"/>
      <c r="E1039" s="2"/>
      <c r="F1039" s="2"/>
      <c r="G1039" s="2"/>
      <c r="I1039" s="2"/>
      <c r="J1039" s="2"/>
    </row>
    <row r="1040" spans="3:10" ht="16.5" customHeight="1">
      <c r="C1040" s="2"/>
      <c r="D1040" s="2"/>
      <c r="E1040" s="2"/>
      <c r="F1040" s="2"/>
      <c r="G1040" s="2"/>
      <c r="I1040" s="2"/>
      <c r="J1040" s="2"/>
    </row>
    <row r="1041" spans="3:10" ht="16.5" customHeight="1">
      <c r="C1041" s="2"/>
      <c r="D1041" s="2"/>
      <c r="E1041" s="2"/>
      <c r="F1041" s="2"/>
      <c r="G1041" s="2"/>
      <c r="I1041" s="2"/>
      <c r="J1041" s="2"/>
    </row>
  </sheetData>
  <autoFilter ref="B5:K80" xr:uid="{00000000-0009-0000-0000-000001000000}"/>
  <sortState xmlns:xlrd2="http://schemas.microsoft.com/office/spreadsheetml/2017/richdata2" ref="B41:K75">
    <sortCondition ref="B5:B75"/>
  </sortState>
  <phoneticPr fontId="2" type="noConversion"/>
  <hyperlinks>
    <hyperlink ref="E55" r:id="rId1" display="https://journals.sagepub.com/doi/abs/10.1177/8755293020981984" xr:uid="{00000000-0004-0000-0100-000000000000}"/>
    <hyperlink ref="E57" r:id="rId2" display="https://link.springer.com/article/10.1007/s12205-021-2047-9" xr:uid="{00000000-0004-0000-0100-000001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50"/>
  <sheetViews>
    <sheetView tabSelected="1" topLeftCell="A35" zoomScale="85" zoomScaleNormal="85" workbookViewId="0">
      <selection activeCell="E39" sqref="E39"/>
    </sheetView>
  </sheetViews>
  <sheetFormatPr defaultColWidth="12.59765625" defaultRowHeight="15" customHeight="1"/>
  <cols>
    <col min="1" max="1" width="10.3984375" style="1" bestFit="1" customWidth="1"/>
    <col min="2" max="2" width="7.59765625" style="1" customWidth="1"/>
    <col min="3" max="3" width="6" style="1" customWidth="1"/>
    <col min="4" max="4" width="5.5" style="1" customWidth="1"/>
    <col min="5" max="5" width="98.8984375" style="1" customWidth="1"/>
    <col min="6" max="6" width="90.5" style="1" customWidth="1"/>
    <col min="7" max="7" width="26.3984375" style="1" customWidth="1"/>
    <col min="8" max="8" width="55.5" style="1" customWidth="1"/>
    <col min="9" max="9" width="10.5" style="1" customWidth="1"/>
    <col min="10" max="11" width="9.3984375" style="1" customWidth="1"/>
    <col min="12" max="12" width="37.09765625" style="1" customWidth="1"/>
    <col min="13" max="13" width="15.19921875" style="1" customWidth="1"/>
    <col min="14" max="14" width="7.8984375" style="1" customWidth="1"/>
    <col min="15" max="15" width="6.09765625" style="1" customWidth="1"/>
    <col min="16" max="16" width="7.8984375" style="1" customWidth="1"/>
    <col min="17" max="17" width="8.3984375" style="1" customWidth="1"/>
    <col min="18" max="18" width="13.5" style="1" customWidth="1"/>
    <col min="19" max="19" width="11.69921875" style="1" customWidth="1"/>
    <col min="20" max="20" width="11.09765625" style="1" customWidth="1"/>
    <col min="21" max="27" width="9.69921875" style="1" customWidth="1"/>
    <col min="28" max="28" width="8.69921875" style="1" customWidth="1"/>
    <col min="29" max="16384" width="12.59765625" style="1"/>
  </cols>
  <sheetData>
    <row r="1" spans="1:28" ht="16.5" customHeight="1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6.5" customHeight="1">
      <c r="C2" s="2"/>
      <c r="D2" s="2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6.5" customHeight="1">
      <c r="C3" s="2"/>
      <c r="D3" s="24"/>
      <c r="E3" s="23" t="s">
        <v>1</v>
      </c>
      <c r="F3" s="2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6.5" customHeight="1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6.5" customHeight="1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6.5" customHeight="1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6.5" customHeight="1" thickBo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6.5" customHeight="1">
      <c r="B8" s="120" t="s">
        <v>2</v>
      </c>
      <c r="C8" s="120" t="s">
        <v>3</v>
      </c>
      <c r="D8" s="123" t="s">
        <v>4</v>
      </c>
      <c r="E8" s="123" t="s">
        <v>164</v>
      </c>
      <c r="F8" s="123" t="s">
        <v>165</v>
      </c>
      <c r="G8" s="117" t="s">
        <v>166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25"/>
      <c r="S8" s="117" t="s">
        <v>167</v>
      </c>
      <c r="T8" s="118"/>
      <c r="U8" s="118"/>
      <c r="V8" s="118"/>
      <c r="W8" s="118"/>
      <c r="X8" s="118"/>
      <c r="Y8" s="118"/>
      <c r="Z8" s="118"/>
      <c r="AA8" s="118"/>
      <c r="AB8" s="119"/>
    </row>
    <row r="9" spans="1:28" ht="16.5" customHeight="1" thickBot="1">
      <c r="B9" s="121"/>
      <c r="C9" s="122"/>
      <c r="D9" s="124"/>
      <c r="E9" s="124"/>
      <c r="F9" s="124"/>
      <c r="G9" s="25" t="s">
        <v>168</v>
      </c>
      <c r="H9" s="25" t="s">
        <v>169</v>
      </c>
      <c r="I9" s="25" t="s">
        <v>170</v>
      </c>
      <c r="J9" s="25" t="s">
        <v>8</v>
      </c>
      <c r="K9" s="25" t="s">
        <v>9</v>
      </c>
      <c r="L9" s="25" t="s">
        <v>171</v>
      </c>
      <c r="M9" s="25" t="s">
        <v>172</v>
      </c>
      <c r="N9" s="26" t="s">
        <v>173</v>
      </c>
      <c r="O9" s="26" t="s">
        <v>174</v>
      </c>
      <c r="P9" s="26" t="s">
        <v>10</v>
      </c>
      <c r="Q9" s="25" t="s">
        <v>175</v>
      </c>
      <c r="R9" s="25" t="s">
        <v>176</v>
      </c>
      <c r="S9" s="26" t="s">
        <v>177</v>
      </c>
      <c r="T9" s="26" t="s">
        <v>178</v>
      </c>
      <c r="U9" s="26" t="s">
        <v>179</v>
      </c>
      <c r="V9" s="26" t="s">
        <v>180</v>
      </c>
      <c r="W9" s="26" t="s">
        <v>181</v>
      </c>
      <c r="X9" s="26" t="s">
        <v>182</v>
      </c>
      <c r="Y9" s="26" t="s">
        <v>183</v>
      </c>
      <c r="Z9" s="26" t="s">
        <v>184</v>
      </c>
      <c r="AA9" s="26" t="s">
        <v>185</v>
      </c>
      <c r="AB9" s="89" t="s">
        <v>186</v>
      </c>
    </row>
    <row r="10" spans="1:28" ht="34.799999999999997">
      <c r="B10" s="27">
        <v>1</v>
      </c>
      <c r="C10" s="28">
        <v>2005</v>
      </c>
      <c r="D10" s="29">
        <v>1</v>
      </c>
      <c r="E10" s="30" t="s">
        <v>564</v>
      </c>
      <c r="F10" s="30" t="s">
        <v>565</v>
      </c>
      <c r="G10" s="29" t="s">
        <v>566</v>
      </c>
      <c r="H10" s="29" t="s">
        <v>567</v>
      </c>
      <c r="I10" s="31" t="str">
        <f>INDEX(학술지정보!$C$9:$O$50,MATCH($H10,학술지정보!$C$9:$C$50,0),2)</f>
        <v>비SCI</v>
      </c>
      <c r="J10" s="31" t="str">
        <f t="array" ref="J10">INDEX(학술지정보!$C$9:$O$50,MATCH($H10,학술지정보!$C$9:$C$50,0),3)</f>
        <v>1229-2427</v>
      </c>
      <c r="K10" s="31" t="str">
        <f t="array" ref="K10">IF(INDEX(학술지정보!$C$9:$O$50,MATCH($H10,학술지정보!$C$9:$C$50,0),5)=0,"",INDEX(학술지정보!$C$9:$O$50,MATCH($H10,학술지정보!$C$9:$C$50,0),5))</f>
        <v>2288-646X</v>
      </c>
      <c r="L10" s="32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3">
        <f t="shared" ref="AB10:AB72" si="0">COUNTA(S10:AA10)</f>
        <v>0</v>
      </c>
    </row>
    <row r="11" spans="1:28" ht="17.399999999999999">
      <c r="A11" s="5"/>
      <c r="B11" s="34">
        <f>B10+1</f>
        <v>2</v>
      </c>
      <c r="C11" s="35">
        <v>2006</v>
      </c>
      <c r="D11" s="36">
        <v>1</v>
      </c>
      <c r="E11" s="102" t="s">
        <v>622</v>
      </c>
      <c r="F11" s="30" t="s">
        <v>620</v>
      </c>
      <c r="G11" s="36" t="s">
        <v>566</v>
      </c>
      <c r="H11" s="36" t="s">
        <v>188</v>
      </c>
      <c r="I11" s="37" t="str">
        <f>INDEX(학술지정보!$C$9:$O$50,MATCH($H11,학술지정보!$C$9:$C$50,0),2)</f>
        <v>비SCI</v>
      </c>
      <c r="J11" s="37" t="str">
        <f t="array" ref="J11">INDEX(학술지정보!$C$9:$O$50,MATCH($H11,학술지정보!$C$9:$C$50,0),3)</f>
        <v>1229-2427</v>
      </c>
      <c r="K11" s="37" t="str">
        <f t="array" ref="K11">IF(INDEX(학술지정보!$C$9:$O$50,MATCH($H11,학술지정보!$C$9:$C$50,0),5)=0,"",INDEX(학술지정보!$C$9:$O$50,MATCH($H11,학술지정보!$C$9:$C$50,0),5))</f>
        <v>2288-646X</v>
      </c>
      <c r="L11" s="38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9"/>
    </row>
    <row r="12" spans="1:28" ht="34.799999999999997">
      <c r="A12" s="5"/>
      <c r="B12" s="34">
        <f t="shared" ref="B12:B75" si="1">B11+1</f>
        <v>3</v>
      </c>
      <c r="C12" s="35">
        <v>2006</v>
      </c>
      <c r="D12" s="36">
        <v>2</v>
      </c>
      <c r="E12" s="102" t="s">
        <v>621</v>
      </c>
      <c r="F12" s="30" t="s">
        <v>565</v>
      </c>
      <c r="G12" s="7" t="s">
        <v>566</v>
      </c>
      <c r="H12" s="7" t="s">
        <v>188</v>
      </c>
      <c r="I12" s="37" t="str">
        <f>INDEX(학술지정보!$C$9:$O$50,MATCH($H12,학술지정보!$C$9:$C$50,0),2)</f>
        <v>비SCI</v>
      </c>
      <c r="J12" s="37" t="str">
        <f t="array" ref="J12">INDEX(학술지정보!$C$9:$O$50,MATCH($H12,학술지정보!$C$9:$C$50,0),3)</f>
        <v>1229-2427</v>
      </c>
      <c r="K12" s="37" t="str">
        <f t="array" ref="K12">IF(INDEX(학술지정보!$C$9:$O$50,MATCH($H12,학술지정보!$C$9:$C$50,0),5)=0,"",INDEX(학술지정보!$C$9:$O$50,MATCH($H12,학술지정보!$C$9:$C$50,0),5))</f>
        <v>2288-646X</v>
      </c>
      <c r="L12" s="38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9">
        <f t="shared" si="0"/>
        <v>0</v>
      </c>
    </row>
    <row r="13" spans="1:28" ht="17.399999999999999">
      <c r="B13" s="34">
        <f t="shared" si="1"/>
        <v>4</v>
      </c>
      <c r="C13" s="35">
        <v>2006</v>
      </c>
      <c r="D13" s="36">
        <v>3</v>
      </c>
      <c r="E13" s="104" t="s">
        <v>569</v>
      </c>
      <c r="F13" s="30" t="s">
        <v>568</v>
      </c>
      <c r="G13" s="7" t="s">
        <v>187</v>
      </c>
      <c r="H13" s="7" t="s">
        <v>188</v>
      </c>
      <c r="I13" s="37"/>
      <c r="J13" s="37"/>
      <c r="K13" s="37"/>
      <c r="L13" s="38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9"/>
    </row>
    <row r="14" spans="1:28" ht="34.799999999999997">
      <c r="A14" s="5"/>
      <c r="B14" s="34">
        <f t="shared" si="1"/>
        <v>5</v>
      </c>
      <c r="C14" s="35">
        <v>2007</v>
      </c>
      <c r="D14" s="36">
        <v>1</v>
      </c>
      <c r="E14" s="102" t="s">
        <v>623</v>
      </c>
      <c r="F14" s="30" t="s">
        <v>189</v>
      </c>
      <c r="G14" s="7" t="s">
        <v>566</v>
      </c>
      <c r="H14" s="7" t="s">
        <v>357</v>
      </c>
      <c r="I14" s="37" t="str">
        <f>INDEX(학술지정보!$C$9:$O$50,MATCH($H14,학술지정보!$C$9:$C$50,0),2)</f>
        <v>비SCI</v>
      </c>
      <c r="J14" s="37" t="str">
        <f t="array" ref="J14">INDEX(학술지정보!$C$9:$O$50,MATCH($H14,학술지정보!$C$9:$C$50,0),3)</f>
        <v>1229-2427</v>
      </c>
      <c r="K14" s="37" t="str">
        <f t="array" ref="K14">IF(INDEX(학술지정보!$C$9:$O$50,MATCH($H14,학술지정보!$C$9:$C$50,0),5)=0,"",INDEX(학술지정보!$C$9:$O$50,MATCH($H14,학술지정보!$C$9:$C$50,0),5))</f>
        <v>2288-646X</v>
      </c>
      <c r="L14" s="38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9">
        <f t="shared" si="0"/>
        <v>0</v>
      </c>
    </row>
    <row r="15" spans="1:28" ht="17.399999999999999">
      <c r="A15" s="5"/>
      <c r="B15" s="34">
        <f t="shared" si="1"/>
        <v>6</v>
      </c>
      <c r="C15" s="35">
        <v>2007</v>
      </c>
      <c r="D15" s="36">
        <v>2</v>
      </c>
      <c r="E15" s="102" t="s">
        <v>624</v>
      </c>
      <c r="F15" s="30" t="s">
        <v>190</v>
      </c>
      <c r="G15" s="7" t="s">
        <v>566</v>
      </c>
      <c r="H15" s="7" t="s">
        <v>188</v>
      </c>
      <c r="I15" s="37" t="str">
        <f>INDEX(학술지정보!$C$9:$O$50,MATCH($H15,학술지정보!$C$9:$C$50,0),2)</f>
        <v>비SCI</v>
      </c>
      <c r="J15" s="37" t="str">
        <f t="array" ref="J15">INDEX(학술지정보!$C$9:$O$50,MATCH($H15,학술지정보!$C$9:$C$50,0),3)</f>
        <v>1229-2427</v>
      </c>
      <c r="K15" s="37" t="str">
        <f t="array" ref="K15">IF(INDEX(학술지정보!$C$9:$O$50,MATCH($H15,학술지정보!$C$9:$C$50,0),5)=0,"",INDEX(학술지정보!$C$9:$O$50,MATCH($H15,학술지정보!$C$9:$C$50,0),5))</f>
        <v>2288-646X</v>
      </c>
      <c r="L15" s="38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9">
        <f t="shared" si="0"/>
        <v>0</v>
      </c>
    </row>
    <row r="16" spans="1:28" ht="34.799999999999997">
      <c r="B16" s="34">
        <f t="shared" si="1"/>
        <v>7</v>
      </c>
      <c r="C16" s="35">
        <v>2008</v>
      </c>
      <c r="D16" s="36">
        <v>1</v>
      </c>
      <c r="E16" s="102" t="s">
        <v>191</v>
      </c>
      <c r="F16" s="30" t="s">
        <v>192</v>
      </c>
      <c r="G16" s="7" t="s">
        <v>625</v>
      </c>
      <c r="H16" s="7" t="s">
        <v>438</v>
      </c>
      <c r="I16" s="37" t="str">
        <f>INDEX(학술지정보!$C$9:$O$50,MATCH($H16,학술지정보!$C$9:$C$50,0),2)</f>
        <v>비SCI</v>
      </c>
      <c r="J16" s="37" t="str">
        <f t="array" ref="J16">INDEX(학술지정보!$C$9:$O$50,MATCH($H16,학술지정보!$C$9:$C$50,0),3)</f>
        <v>2233-8292</v>
      </c>
      <c r="K16" s="37" t="str">
        <f t="array" ref="K16">IF(INDEX(학술지정보!$C$9:$O$50,MATCH($H16,학술지정보!$C$9:$C$50,0),5)=0,"",INDEX(학술지정보!$C$9:$O$50,MATCH($H16,학술지정보!$C$9:$C$50,0),5))</f>
        <v>2287-4747</v>
      </c>
      <c r="L16" s="38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9">
        <f t="shared" si="0"/>
        <v>0</v>
      </c>
    </row>
    <row r="17" spans="2:28" ht="17.399999999999999">
      <c r="B17" s="34">
        <f t="shared" si="1"/>
        <v>8</v>
      </c>
      <c r="C17" s="35">
        <v>2008</v>
      </c>
      <c r="D17" s="36">
        <v>2</v>
      </c>
      <c r="E17" s="103" t="s">
        <v>627</v>
      </c>
      <c r="F17" s="30" t="s">
        <v>195</v>
      </c>
      <c r="G17" s="7" t="s">
        <v>187</v>
      </c>
      <c r="H17" s="7" t="s">
        <v>188</v>
      </c>
      <c r="I17" s="37" t="str">
        <f>INDEX(학술지정보!$C$9:$O$50,MATCH($H17,학술지정보!$C$9:$C$50,0),2)</f>
        <v>비SCI</v>
      </c>
      <c r="J17" s="37" t="str">
        <f t="array" ref="J17">INDEX(학술지정보!$C$9:$O$50,MATCH($H17,학술지정보!$C$9:$C$50,0),3)</f>
        <v>1229-2427</v>
      </c>
      <c r="K17" s="37" t="str">
        <f t="array" ref="K17">IF(INDEX(학술지정보!$C$9:$O$50,MATCH($H17,학술지정보!$C$9:$C$50,0),5)=0,"",INDEX(학술지정보!$C$9:$O$50,MATCH($H17,학술지정보!$C$9:$C$50,0),5))</f>
        <v>2288-646X</v>
      </c>
      <c r="L17" s="38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9">
        <f t="shared" si="0"/>
        <v>0</v>
      </c>
    </row>
    <row r="18" spans="2:28" ht="17.399999999999999">
      <c r="B18" s="34">
        <f t="shared" si="1"/>
        <v>9</v>
      </c>
      <c r="C18" s="35">
        <v>2008</v>
      </c>
      <c r="D18" s="36">
        <v>3</v>
      </c>
      <c r="E18" s="103" t="s">
        <v>196</v>
      </c>
      <c r="F18" s="30" t="s">
        <v>197</v>
      </c>
      <c r="G18" s="7" t="s">
        <v>187</v>
      </c>
      <c r="H18" s="7" t="s">
        <v>188</v>
      </c>
      <c r="I18" s="37" t="str">
        <f>INDEX(학술지정보!$C$9:$O$50,MATCH($H18,학술지정보!$C$9:$C$50,0),2)</f>
        <v>비SCI</v>
      </c>
      <c r="J18" s="37" t="str">
        <f t="array" ref="J18">INDEX(학술지정보!$C$9:$O$50,MATCH($H18,학술지정보!$C$9:$C$50,0),3)</f>
        <v>1229-2427</v>
      </c>
      <c r="K18" s="37" t="str">
        <f t="array" ref="K18">IF(INDEX(학술지정보!$C$9:$O$50,MATCH($H18,학술지정보!$C$9:$C$50,0),5)=0,"",INDEX(학술지정보!$C$9:$O$50,MATCH($H18,학술지정보!$C$9:$C$50,0),5))</f>
        <v>2288-646X</v>
      </c>
      <c r="L18" s="38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9">
        <f t="shared" si="0"/>
        <v>0</v>
      </c>
    </row>
    <row r="19" spans="2:28" ht="17.399999999999999">
      <c r="B19" s="34">
        <f t="shared" si="1"/>
        <v>10</v>
      </c>
      <c r="C19" s="35">
        <v>2008</v>
      </c>
      <c r="D19" s="36">
        <v>4</v>
      </c>
      <c r="E19" s="103" t="s">
        <v>198</v>
      </c>
      <c r="F19" s="30" t="s">
        <v>199</v>
      </c>
      <c r="G19" s="7" t="s">
        <v>200</v>
      </c>
      <c r="H19" s="7" t="s">
        <v>201</v>
      </c>
      <c r="I19" s="37" t="str">
        <f>INDEX(학술지정보!$C$9:$O$50,MATCH($H19,학술지정보!$C$9:$C$50,0),2)</f>
        <v>비SCI</v>
      </c>
      <c r="J19" s="37" t="str">
        <f t="array" ref="J19">INDEX(학술지정보!$C$9:$O$50,MATCH($H19,학술지정보!$C$9:$C$50,0),3)</f>
        <v>1598-0820</v>
      </c>
      <c r="K19" s="37" t="str">
        <f t="array" ref="K19">IF(INDEX(학술지정보!$C$9:$O$50,MATCH($H19,학술지정보!$C$9:$C$50,0),5)=0,"",INDEX(학술지정보!$C$9:$O$50,MATCH($H19,학술지정보!$C$9:$C$50,0),5))</f>
        <v/>
      </c>
      <c r="L19" s="38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9">
        <f t="shared" si="0"/>
        <v>0</v>
      </c>
    </row>
    <row r="20" spans="2:28" ht="17.399999999999999">
      <c r="B20" s="34">
        <f t="shared" si="1"/>
        <v>11</v>
      </c>
      <c r="C20" s="35">
        <v>2009</v>
      </c>
      <c r="D20" s="36">
        <v>1</v>
      </c>
      <c r="E20" s="103" t="s">
        <v>580</v>
      </c>
      <c r="F20" s="30" t="s">
        <v>202</v>
      </c>
      <c r="G20" s="7" t="s">
        <v>187</v>
      </c>
      <c r="H20" s="7" t="s">
        <v>188</v>
      </c>
      <c r="I20" s="37" t="str">
        <f>INDEX(학술지정보!$C$9:$O$50,MATCH($H20,학술지정보!$C$9:$C$50,0),2)</f>
        <v>비SCI</v>
      </c>
      <c r="J20" s="37" t="str">
        <f t="array" ref="J20">INDEX(학술지정보!$C$9:$O$50,MATCH($H20,학술지정보!$C$9:$C$50,0),3)</f>
        <v>1229-2427</v>
      </c>
      <c r="K20" s="37" t="str">
        <f t="array" ref="K20">IF(INDEX(학술지정보!$C$9:$O$50,MATCH($H20,학술지정보!$C$9:$C$50,0),5)=0,"",INDEX(학술지정보!$C$9:$O$50,MATCH($H20,학술지정보!$C$9:$C$50,0),5))</f>
        <v>2288-646X</v>
      </c>
      <c r="L20" s="38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9">
        <f t="shared" si="0"/>
        <v>0</v>
      </c>
    </row>
    <row r="21" spans="2:28" ht="17.399999999999999">
      <c r="B21" s="34">
        <f t="shared" si="1"/>
        <v>12</v>
      </c>
      <c r="C21" s="35">
        <v>2009</v>
      </c>
      <c r="D21" s="36">
        <v>2</v>
      </c>
      <c r="E21" s="103" t="s">
        <v>570</v>
      </c>
      <c r="F21" s="30" t="s">
        <v>571</v>
      </c>
      <c r="G21" s="7" t="s">
        <v>200</v>
      </c>
      <c r="H21" s="7" t="s">
        <v>201</v>
      </c>
      <c r="I21" s="37"/>
      <c r="J21" s="37"/>
      <c r="K21" s="37"/>
      <c r="L21" s="38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9"/>
    </row>
    <row r="22" spans="2:28" ht="17.399999999999999">
      <c r="B22" s="34">
        <f t="shared" si="1"/>
        <v>13</v>
      </c>
      <c r="C22" s="35">
        <v>2009</v>
      </c>
      <c r="D22" s="36">
        <v>3</v>
      </c>
      <c r="E22" s="102" t="s">
        <v>578</v>
      </c>
      <c r="F22" s="30" t="s">
        <v>203</v>
      </c>
      <c r="G22" s="7" t="s">
        <v>187</v>
      </c>
      <c r="H22" s="7" t="s">
        <v>188</v>
      </c>
      <c r="I22" s="37" t="str">
        <f>INDEX(학술지정보!$C$9:$O$50,MATCH($H22,학술지정보!$C$9:$C$50,0),2)</f>
        <v>비SCI</v>
      </c>
      <c r="J22" s="37" t="str">
        <f t="array" ref="J22">INDEX(학술지정보!$C$9:$O$50,MATCH($H22,학술지정보!$C$9:$C$50,0),3)</f>
        <v>1229-2427</v>
      </c>
      <c r="K22" s="37" t="str">
        <f t="array" ref="K22">IF(INDEX(학술지정보!$C$9:$O$50,MATCH($H22,학술지정보!$C$9:$C$50,0),5)=0,"",INDEX(학술지정보!$C$9:$O$50,MATCH($H22,학술지정보!$C$9:$C$50,0),5))</f>
        <v>2288-646X</v>
      </c>
      <c r="L22" s="38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9">
        <f t="shared" si="0"/>
        <v>0</v>
      </c>
    </row>
    <row r="23" spans="2:28" ht="34.799999999999997">
      <c r="B23" s="34">
        <f t="shared" si="1"/>
        <v>14</v>
      </c>
      <c r="C23" s="35">
        <v>2009</v>
      </c>
      <c r="D23" s="36">
        <v>4</v>
      </c>
      <c r="E23" s="103" t="s">
        <v>204</v>
      </c>
      <c r="F23" s="30" t="s">
        <v>205</v>
      </c>
      <c r="G23" s="7" t="s">
        <v>200</v>
      </c>
      <c r="H23" s="7" t="s">
        <v>201</v>
      </c>
      <c r="I23" s="37" t="str">
        <f>INDEX(학술지정보!$C$9:$O$50,MATCH($H23,학술지정보!$C$9:$C$50,0),2)</f>
        <v>비SCI</v>
      </c>
      <c r="J23" s="37" t="str">
        <f t="array" ref="J23">INDEX(학술지정보!$C$9:$O$50,MATCH($H23,학술지정보!$C$9:$C$50,0),3)</f>
        <v>1598-0820</v>
      </c>
      <c r="K23" s="37" t="str">
        <f t="array" ref="K23">IF(INDEX(학술지정보!$C$9:$O$50,MATCH($H23,학술지정보!$C$9:$C$50,0),5)=0,"",INDEX(학술지정보!$C$9:$O$50,MATCH($H23,학술지정보!$C$9:$C$50,0),5))</f>
        <v/>
      </c>
      <c r="L23" s="38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9">
        <f t="shared" si="0"/>
        <v>0</v>
      </c>
    </row>
    <row r="24" spans="2:28" ht="34.799999999999997">
      <c r="B24" s="34">
        <f t="shared" si="1"/>
        <v>15</v>
      </c>
      <c r="C24" s="35">
        <v>2009</v>
      </c>
      <c r="D24" s="36">
        <v>5</v>
      </c>
      <c r="E24" s="103" t="s">
        <v>206</v>
      </c>
      <c r="F24" s="30" t="s">
        <v>207</v>
      </c>
      <c r="G24" s="7" t="s">
        <v>200</v>
      </c>
      <c r="H24" s="7" t="s">
        <v>201</v>
      </c>
      <c r="I24" s="37" t="str">
        <f>INDEX(학술지정보!$C$9:$O$50,MATCH($H24,학술지정보!$C$9:$C$50,0),2)</f>
        <v>비SCI</v>
      </c>
      <c r="J24" s="37" t="str">
        <f t="array" ref="J24">INDEX(학술지정보!$C$9:$O$50,MATCH($H24,학술지정보!$C$9:$C$50,0),3)</f>
        <v>1598-0820</v>
      </c>
      <c r="K24" s="37" t="str">
        <f t="array" ref="K24">IF(INDEX(학술지정보!$C$9:$O$50,MATCH($H24,학술지정보!$C$9:$C$50,0),5)=0,"",INDEX(학술지정보!$C$9:$O$50,MATCH($H24,학술지정보!$C$9:$C$50,0),5))</f>
        <v/>
      </c>
      <c r="L24" s="38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9">
        <f t="shared" si="0"/>
        <v>0</v>
      </c>
    </row>
    <row r="25" spans="2:28" ht="17.399999999999999">
      <c r="B25" s="34">
        <f t="shared" si="1"/>
        <v>16</v>
      </c>
      <c r="C25" s="35">
        <v>2009</v>
      </c>
      <c r="D25" s="36">
        <v>6</v>
      </c>
      <c r="E25" s="103" t="s">
        <v>208</v>
      </c>
      <c r="F25" s="30" t="s">
        <v>209</v>
      </c>
      <c r="G25" s="7" t="s">
        <v>187</v>
      </c>
      <c r="H25" s="7" t="s">
        <v>188</v>
      </c>
      <c r="I25" s="37" t="str">
        <f>INDEX(학술지정보!$C$9:$O$50,MATCH($H25,학술지정보!$C$9:$C$50,0),2)</f>
        <v>비SCI</v>
      </c>
      <c r="J25" s="37" t="str">
        <f t="array" ref="J25">INDEX(학술지정보!$C$9:$O$50,MATCH($H25,학술지정보!$C$9:$C$50,0),3)</f>
        <v>1229-2427</v>
      </c>
      <c r="K25" s="37" t="str">
        <f t="array" ref="K25">IF(INDEX(학술지정보!$C$9:$O$50,MATCH($H25,학술지정보!$C$9:$C$50,0),5)=0,"",INDEX(학술지정보!$C$9:$O$50,MATCH($H25,학술지정보!$C$9:$C$50,0),5))</f>
        <v>2288-646X</v>
      </c>
      <c r="L25" s="38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9">
        <f t="shared" si="0"/>
        <v>0</v>
      </c>
    </row>
    <row r="26" spans="2:28" ht="34.799999999999997">
      <c r="B26" s="34">
        <f t="shared" si="1"/>
        <v>17</v>
      </c>
      <c r="C26" s="35">
        <v>2010</v>
      </c>
      <c r="D26" s="36">
        <v>1</v>
      </c>
      <c r="E26" s="103" t="s">
        <v>210</v>
      </c>
      <c r="F26" s="30" t="s">
        <v>211</v>
      </c>
      <c r="G26" s="7" t="s">
        <v>187</v>
      </c>
      <c r="H26" s="7" t="s">
        <v>188</v>
      </c>
      <c r="I26" s="37" t="str">
        <f>INDEX(학술지정보!$C$9:$O$50,MATCH($H26,학술지정보!$C$9:$C$50,0),2)</f>
        <v>비SCI</v>
      </c>
      <c r="J26" s="37" t="str">
        <f t="array" ref="J26">INDEX(학술지정보!$C$9:$O$50,MATCH($H26,학술지정보!$C$9:$C$50,0),3)</f>
        <v>1229-2427</v>
      </c>
      <c r="K26" s="37" t="str">
        <f t="array" ref="K26">IF(INDEX(학술지정보!$C$9:$O$50,MATCH($H26,학술지정보!$C$9:$C$50,0),5)=0,"",INDEX(학술지정보!$C$9:$O$50,MATCH($H26,학술지정보!$C$9:$C$50,0),5))</f>
        <v>2288-646X</v>
      </c>
      <c r="L26" s="38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9">
        <f t="shared" si="0"/>
        <v>0</v>
      </c>
    </row>
    <row r="27" spans="2:28" ht="34.799999999999997">
      <c r="B27" s="34">
        <f t="shared" si="1"/>
        <v>18</v>
      </c>
      <c r="C27" s="35">
        <v>2010</v>
      </c>
      <c r="D27" s="36">
        <v>2</v>
      </c>
      <c r="E27" s="103" t="s">
        <v>212</v>
      </c>
      <c r="F27" s="30" t="s">
        <v>213</v>
      </c>
      <c r="G27" s="7" t="s">
        <v>187</v>
      </c>
      <c r="H27" s="7" t="s">
        <v>188</v>
      </c>
      <c r="I27" s="37" t="str">
        <f>INDEX(학술지정보!$C$9:$O$50,MATCH($H27,학술지정보!$C$9:$C$50,0),2)</f>
        <v>비SCI</v>
      </c>
      <c r="J27" s="37" t="str">
        <f t="array" ref="J27">INDEX(학술지정보!$C$9:$O$50,MATCH($H27,학술지정보!$C$9:$C$50,0),3)</f>
        <v>1229-2427</v>
      </c>
      <c r="K27" s="37" t="str">
        <f t="array" ref="K27">IF(INDEX(학술지정보!$C$9:$O$50,MATCH($H27,학술지정보!$C$9:$C$50,0),5)=0,"",INDEX(학술지정보!$C$9:$O$50,MATCH($H27,학술지정보!$C$9:$C$50,0),5))</f>
        <v>2288-646X</v>
      </c>
      <c r="L27" s="38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9">
        <f t="shared" si="0"/>
        <v>0</v>
      </c>
    </row>
    <row r="28" spans="2:28" ht="34.799999999999997">
      <c r="B28" s="34">
        <f t="shared" si="1"/>
        <v>19</v>
      </c>
      <c r="C28" s="35">
        <v>2010</v>
      </c>
      <c r="D28" s="36">
        <v>3</v>
      </c>
      <c r="E28" s="103" t="s">
        <v>214</v>
      </c>
      <c r="F28" s="30" t="s">
        <v>215</v>
      </c>
      <c r="G28" s="7" t="s">
        <v>187</v>
      </c>
      <c r="H28" s="7" t="s">
        <v>188</v>
      </c>
      <c r="I28" s="37" t="str">
        <f>INDEX(학술지정보!$C$9:$O$50,MATCH($H28,학술지정보!$C$9:$C$50,0),2)</f>
        <v>비SCI</v>
      </c>
      <c r="J28" s="37" t="str">
        <f t="array" ref="J28">INDEX(학술지정보!$C$9:$O$50,MATCH($H28,학술지정보!$C$9:$C$50,0),3)</f>
        <v>1229-2427</v>
      </c>
      <c r="K28" s="37" t="str">
        <f t="array" ref="K28">IF(INDEX(학술지정보!$C$9:$O$50,MATCH($H28,학술지정보!$C$9:$C$50,0),5)=0,"",INDEX(학술지정보!$C$9:$O$50,MATCH($H28,학술지정보!$C$9:$C$50,0),5))</f>
        <v>2288-646X</v>
      </c>
      <c r="L28" s="38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9">
        <f t="shared" si="0"/>
        <v>0</v>
      </c>
    </row>
    <row r="29" spans="2:28" ht="34.799999999999997">
      <c r="B29" s="34">
        <f t="shared" si="1"/>
        <v>20</v>
      </c>
      <c r="C29" s="35">
        <v>2010</v>
      </c>
      <c r="D29" s="36">
        <v>4</v>
      </c>
      <c r="E29" s="103" t="s">
        <v>216</v>
      </c>
      <c r="F29" s="30" t="s">
        <v>217</v>
      </c>
      <c r="G29" s="7" t="s">
        <v>187</v>
      </c>
      <c r="H29" s="7" t="s">
        <v>188</v>
      </c>
      <c r="I29" s="37" t="str">
        <f>INDEX(학술지정보!$C$9:$O$50,MATCH($H29,학술지정보!$C$9:$C$50,0),2)</f>
        <v>비SCI</v>
      </c>
      <c r="J29" s="37" t="str">
        <f t="array" ref="J29">INDEX(학술지정보!$C$9:$O$50,MATCH($H29,학술지정보!$C$9:$C$50,0),3)</f>
        <v>1229-2427</v>
      </c>
      <c r="K29" s="37" t="str">
        <f t="array" ref="K29">IF(INDEX(학술지정보!$C$9:$O$50,MATCH($H29,학술지정보!$C$9:$C$50,0),5)=0,"",INDEX(학술지정보!$C$9:$O$50,MATCH($H29,학술지정보!$C$9:$C$50,0),5))</f>
        <v>2288-646X</v>
      </c>
      <c r="L29" s="38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9">
        <f t="shared" si="0"/>
        <v>0</v>
      </c>
    </row>
    <row r="30" spans="2:28" ht="17.399999999999999">
      <c r="B30" s="34">
        <f t="shared" si="1"/>
        <v>21</v>
      </c>
      <c r="C30" s="35">
        <v>2010</v>
      </c>
      <c r="D30" s="36">
        <v>5</v>
      </c>
      <c r="E30" s="103" t="s">
        <v>218</v>
      </c>
      <c r="F30" s="30" t="s">
        <v>219</v>
      </c>
      <c r="G30" s="7" t="s">
        <v>200</v>
      </c>
      <c r="H30" s="7" t="s">
        <v>201</v>
      </c>
      <c r="I30" s="37" t="str">
        <f>INDEX(학술지정보!$C$9:$O$50,MATCH($H30,학술지정보!$C$9:$C$50,0),2)</f>
        <v>비SCI</v>
      </c>
      <c r="J30" s="37" t="str">
        <f t="array" ref="J30">INDEX(학술지정보!$C$9:$O$50,MATCH($H30,학술지정보!$C$9:$C$50,0),3)</f>
        <v>1598-0820</v>
      </c>
      <c r="K30" s="37" t="str">
        <f t="array" ref="K30">IF(INDEX(학술지정보!$C$9:$O$50,MATCH($H30,학술지정보!$C$9:$C$50,0),5)=0,"",INDEX(학술지정보!$C$9:$O$50,MATCH($H30,학술지정보!$C$9:$C$50,0),5))</f>
        <v/>
      </c>
      <c r="L30" s="38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9">
        <f t="shared" si="0"/>
        <v>0</v>
      </c>
    </row>
    <row r="31" spans="2:28" ht="34.799999999999997">
      <c r="B31" s="34">
        <f t="shared" si="1"/>
        <v>22</v>
      </c>
      <c r="C31" s="35">
        <v>2011</v>
      </c>
      <c r="D31" s="36">
        <v>1</v>
      </c>
      <c r="E31" s="103" t="s">
        <v>220</v>
      </c>
      <c r="F31" s="30" t="s">
        <v>221</v>
      </c>
      <c r="G31" s="7" t="s">
        <v>200</v>
      </c>
      <c r="H31" s="7" t="s">
        <v>201</v>
      </c>
      <c r="I31" s="37" t="str">
        <f>INDEX(학술지정보!$C$9:$O$50,MATCH($H31,학술지정보!$C$9:$C$50,0),2)</f>
        <v>비SCI</v>
      </c>
      <c r="J31" s="37" t="str">
        <f t="array" ref="J31">INDEX(학술지정보!$C$9:$O$50,MATCH($H31,학술지정보!$C$9:$C$50,0),3)</f>
        <v>1598-0820</v>
      </c>
      <c r="K31" s="37" t="str">
        <f t="array" ref="K31">IF(INDEX(학술지정보!$C$9:$O$50,MATCH($H31,학술지정보!$C$9:$C$50,0),5)=0,"",INDEX(학술지정보!$C$9:$O$50,MATCH($H31,학술지정보!$C$9:$C$50,0),5))</f>
        <v/>
      </c>
      <c r="L31" s="38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9">
        <f t="shared" si="0"/>
        <v>0</v>
      </c>
    </row>
    <row r="32" spans="2:28" ht="34.799999999999997">
      <c r="B32" s="34">
        <f t="shared" si="1"/>
        <v>23</v>
      </c>
      <c r="C32" s="35">
        <v>2011</v>
      </c>
      <c r="D32" s="36">
        <v>2</v>
      </c>
      <c r="E32" s="103" t="s">
        <v>222</v>
      </c>
      <c r="F32" s="30" t="s">
        <v>223</v>
      </c>
      <c r="G32" s="7" t="s">
        <v>200</v>
      </c>
      <c r="H32" s="7" t="s">
        <v>201</v>
      </c>
      <c r="I32" s="37" t="str">
        <f>INDEX(학술지정보!$C$9:$O$50,MATCH($H32,학술지정보!$C$9:$C$50,0),2)</f>
        <v>비SCI</v>
      </c>
      <c r="J32" s="37" t="str">
        <f t="array" ref="J32">INDEX(학술지정보!$C$9:$O$50,MATCH($H32,학술지정보!$C$9:$C$50,0),3)</f>
        <v>1598-0820</v>
      </c>
      <c r="K32" s="37" t="str">
        <f t="array" ref="K32">IF(INDEX(학술지정보!$C$9:$O$50,MATCH($H32,학술지정보!$C$9:$C$50,0),5)=0,"",INDEX(학술지정보!$C$9:$O$50,MATCH($H32,학술지정보!$C$9:$C$50,0),5))</f>
        <v/>
      </c>
      <c r="L32" s="38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9">
        <f t="shared" si="0"/>
        <v>0</v>
      </c>
    </row>
    <row r="33" spans="1:28" ht="34.799999999999997">
      <c r="B33" s="34">
        <f t="shared" si="1"/>
        <v>24</v>
      </c>
      <c r="C33" s="35">
        <v>2011</v>
      </c>
      <c r="D33" s="36">
        <v>3</v>
      </c>
      <c r="E33" s="103" t="s">
        <v>224</v>
      </c>
      <c r="F33" s="30" t="s">
        <v>225</v>
      </c>
      <c r="G33" s="7" t="s">
        <v>200</v>
      </c>
      <c r="H33" s="7" t="s">
        <v>201</v>
      </c>
      <c r="I33" s="37" t="str">
        <f>INDEX(학술지정보!$C$9:$O$50,MATCH($H33,학술지정보!$C$9:$C$50,0),2)</f>
        <v>비SCI</v>
      </c>
      <c r="J33" s="37" t="str">
        <f t="array" ref="J33">INDEX(학술지정보!$C$9:$O$50,MATCH($H33,학술지정보!$C$9:$C$50,0),3)</f>
        <v>1598-0820</v>
      </c>
      <c r="K33" s="37" t="str">
        <f t="array" ref="K33">IF(INDEX(학술지정보!$C$9:$O$50,MATCH($H33,학술지정보!$C$9:$C$50,0),5)=0,"",INDEX(학술지정보!$C$9:$O$50,MATCH($H33,학술지정보!$C$9:$C$50,0),5))</f>
        <v/>
      </c>
      <c r="L33" s="38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9">
        <f t="shared" si="0"/>
        <v>0</v>
      </c>
    </row>
    <row r="34" spans="1:28" ht="34.799999999999997">
      <c r="B34" s="34">
        <f t="shared" si="1"/>
        <v>25</v>
      </c>
      <c r="C34" s="35">
        <v>2011</v>
      </c>
      <c r="D34" s="36">
        <v>4</v>
      </c>
      <c r="E34" s="103" t="s">
        <v>572</v>
      </c>
      <c r="F34" s="30" t="s">
        <v>573</v>
      </c>
      <c r="G34" s="7" t="s">
        <v>574</v>
      </c>
      <c r="H34" s="7" t="s">
        <v>314</v>
      </c>
      <c r="I34" s="37" t="e">
        <f>INDEX(학술지정보!$C$9:$O$50,MATCH($H34,학술지정보!$C$9:$C$50,0),2)</f>
        <v>#N/A</v>
      </c>
      <c r="J34" s="37" t="e">
        <f t="array" ref="J34">INDEX(학술지정보!$C$9:$O$50,MATCH($H34,학술지정보!$C$9:$C$50,0),3)</f>
        <v>#N/A</v>
      </c>
      <c r="K34" s="37" t="e">
        <f t="array" ref="K34">IF(INDEX(학술지정보!$C$9:$O$50,MATCH($H34,학술지정보!$C$9:$C$50,0),5)=0,"",INDEX(학술지정보!$C$9:$O$50,MATCH($H34,학술지정보!$C$9:$C$50,0),5))</f>
        <v>#N/A</v>
      </c>
      <c r="L34" s="38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9"/>
    </row>
    <row r="35" spans="1:28" ht="17.399999999999999">
      <c r="B35" s="34">
        <f t="shared" si="1"/>
        <v>26</v>
      </c>
      <c r="C35" s="35">
        <v>2012</v>
      </c>
      <c r="D35" s="36">
        <v>1</v>
      </c>
      <c r="E35" s="103" t="s">
        <v>226</v>
      </c>
      <c r="F35" s="30" t="s">
        <v>227</v>
      </c>
      <c r="G35" s="7" t="s">
        <v>187</v>
      </c>
      <c r="H35" s="7" t="s">
        <v>188</v>
      </c>
      <c r="I35" s="37" t="str">
        <f>INDEX(학술지정보!$C$9:$O$50,MATCH($H35,학술지정보!$C$9:$C$50,0),2)</f>
        <v>비SCI</v>
      </c>
      <c r="J35" s="37" t="str">
        <f t="array" ref="J35">INDEX(학술지정보!$C$9:$O$50,MATCH($H35,학술지정보!$C$9:$C$50,0),3)</f>
        <v>1229-2427</v>
      </c>
      <c r="K35" s="37" t="str">
        <f t="array" ref="K35">IF(INDEX(학술지정보!$C$9:$O$50,MATCH($H35,학술지정보!$C$9:$C$50,0),5)=0,"",INDEX(학술지정보!$C$9:$O$50,MATCH($H35,학술지정보!$C$9:$C$50,0),5))</f>
        <v>2288-646X</v>
      </c>
      <c r="L35" s="38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9">
        <f t="shared" si="0"/>
        <v>0</v>
      </c>
    </row>
    <row r="36" spans="1:28" ht="17.399999999999999">
      <c r="B36" s="34">
        <f t="shared" si="1"/>
        <v>27</v>
      </c>
      <c r="C36" s="35">
        <v>2013</v>
      </c>
      <c r="D36" s="36">
        <v>1</v>
      </c>
      <c r="E36" s="103" t="s">
        <v>228</v>
      </c>
      <c r="F36" s="30" t="s">
        <v>229</v>
      </c>
      <c r="G36" s="7" t="s">
        <v>187</v>
      </c>
      <c r="H36" s="7" t="s">
        <v>188</v>
      </c>
      <c r="I36" s="37" t="str">
        <f>INDEX(학술지정보!$C$9:$O$50,MATCH($H36,학술지정보!$C$9:$C$50,0),2)</f>
        <v>비SCI</v>
      </c>
      <c r="J36" s="37" t="str">
        <f t="array" ref="J36">INDEX(학술지정보!$C$9:$O$50,MATCH($H36,학술지정보!$C$9:$C$50,0),3)</f>
        <v>1229-2427</v>
      </c>
      <c r="K36" s="37" t="str">
        <f t="array" ref="K36">IF(INDEX(학술지정보!$C$9:$O$50,MATCH($H36,학술지정보!$C$9:$C$50,0),5)=0,"",INDEX(학술지정보!$C$9:$O$50,MATCH($H36,학술지정보!$C$9:$C$50,0),5))</f>
        <v>2288-646X</v>
      </c>
      <c r="L36" s="38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9">
        <f t="shared" si="0"/>
        <v>0</v>
      </c>
    </row>
    <row r="37" spans="1:28" ht="17.399999999999999">
      <c r="B37" s="34">
        <f t="shared" si="1"/>
        <v>28</v>
      </c>
      <c r="C37" s="35">
        <v>2013</v>
      </c>
      <c r="D37" s="36">
        <v>2</v>
      </c>
      <c r="E37" s="103" t="s">
        <v>230</v>
      </c>
      <c r="F37" s="30" t="s">
        <v>231</v>
      </c>
      <c r="G37" s="7" t="s">
        <v>193</v>
      </c>
      <c r="H37" s="7" t="s">
        <v>194</v>
      </c>
      <c r="I37" s="37" t="str">
        <f>INDEX(학술지정보!$C$9:$O$50,MATCH($H37,학술지정보!$C$9:$C$50,0),2)</f>
        <v>비SCI</v>
      </c>
      <c r="J37" s="37" t="str">
        <f t="array" ref="J37">INDEX(학술지정보!$C$9:$O$50,MATCH($H37,학술지정보!$C$9:$C$50,0),3)</f>
        <v>2233-8292</v>
      </c>
      <c r="K37" s="37" t="str">
        <f t="array" ref="K37">IF(INDEX(학술지정보!$C$9:$O$50,MATCH($H37,학술지정보!$C$9:$C$50,0),5)=0,"",INDEX(학술지정보!$C$9:$O$50,MATCH($H37,학술지정보!$C$9:$C$50,0),5))</f>
        <v>2287-4747</v>
      </c>
      <c r="L37" s="38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9">
        <f t="shared" si="0"/>
        <v>0</v>
      </c>
    </row>
    <row r="38" spans="1:28" ht="17.399999999999999">
      <c r="B38" s="34">
        <f t="shared" si="1"/>
        <v>29</v>
      </c>
      <c r="C38" s="35">
        <v>2013</v>
      </c>
      <c r="D38" s="36">
        <v>3</v>
      </c>
      <c r="E38" s="103" t="s">
        <v>232</v>
      </c>
      <c r="F38" s="30" t="s">
        <v>233</v>
      </c>
      <c r="G38" s="7" t="s">
        <v>234</v>
      </c>
      <c r="H38" s="7" t="s">
        <v>235</v>
      </c>
      <c r="I38" s="37" t="str">
        <f>INDEX(학술지정보!$C$9:$O$50,MATCH($H38,학술지정보!$C$9:$C$50,0),2)</f>
        <v>비SCI</v>
      </c>
      <c r="J38" s="37" t="str">
        <f t="array" ref="J38">INDEX(학술지정보!$C$9:$O$50,MATCH($H38,학술지정보!$C$9:$C$50,0),3)</f>
        <v>1738-2424</v>
      </c>
      <c r="K38" s="37" t="str">
        <f t="array" ref="K38">IF(INDEX(학술지정보!$C$9:$O$50,MATCH($H38,학술지정보!$C$9:$C$50,0),5)=0,"",INDEX(학술지정보!$C$9:$O$50,MATCH($H38,학술지정보!$C$9:$C$50,0),5))</f>
        <v>2287-6723</v>
      </c>
      <c r="L38" s="38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9">
        <f t="shared" si="0"/>
        <v>0</v>
      </c>
    </row>
    <row r="39" spans="1:28" ht="34.799999999999997">
      <c r="B39" s="34">
        <f t="shared" si="1"/>
        <v>30</v>
      </c>
      <c r="C39" s="35">
        <v>2014</v>
      </c>
      <c r="D39" s="36">
        <v>1</v>
      </c>
      <c r="E39" s="103" t="s">
        <v>581</v>
      </c>
      <c r="F39" s="30" t="s">
        <v>236</v>
      </c>
      <c r="G39" s="7" t="s">
        <v>200</v>
      </c>
      <c r="H39" s="7" t="s">
        <v>201</v>
      </c>
      <c r="I39" s="37" t="str">
        <f>INDEX(학술지정보!$C$9:$O$50,MATCH($H39,학술지정보!$C$9:$C$50,0),2)</f>
        <v>비SCI</v>
      </c>
      <c r="J39" s="37" t="str">
        <f t="array" ref="J39">INDEX(학술지정보!$C$9:$O$50,MATCH($H39,학술지정보!$C$9:$C$50,0),3)</f>
        <v>1598-0820</v>
      </c>
      <c r="K39" s="37" t="str">
        <f t="array" ref="K39">IF(INDEX(학술지정보!$C$9:$O$50,MATCH($H39,학술지정보!$C$9:$C$50,0),5)=0,"",INDEX(학술지정보!$C$9:$O$50,MATCH($H39,학술지정보!$C$9:$C$50,0),5))</f>
        <v/>
      </c>
      <c r="L39" s="38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9">
        <f t="shared" si="0"/>
        <v>0</v>
      </c>
    </row>
    <row r="40" spans="1:28" ht="17.399999999999999">
      <c r="B40" s="34">
        <f t="shared" si="1"/>
        <v>31</v>
      </c>
      <c r="C40" s="35">
        <v>2014</v>
      </c>
      <c r="D40" s="36">
        <v>2</v>
      </c>
      <c r="E40" s="102" t="s">
        <v>594</v>
      </c>
      <c r="F40" s="30" t="s">
        <v>593</v>
      </c>
      <c r="G40" s="7" t="s">
        <v>187</v>
      </c>
      <c r="H40" s="7" t="s">
        <v>188</v>
      </c>
      <c r="I40" s="37" t="str">
        <f>INDEX(학술지정보!$C$9:$O$50,MATCH($H40,학술지정보!$C$9:$C$50,0),2)</f>
        <v>비SCI</v>
      </c>
      <c r="J40" s="37" t="str">
        <f t="array" ref="J40">INDEX(학술지정보!$C$9:$O$50,MATCH($H40,학술지정보!$C$9:$C$50,0),3)</f>
        <v>1229-2427</v>
      </c>
      <c r="K40" s="37" t="str">
        <f t="array" ref="K40">IF(INDEX(학술지정보!$C$9:$O$50,MATCH($H40,학술지정보!$C$9:$C$50,0),5)=0,"",INDEX(학술지정보!$C$9:$O$50,MATCH($H40,학술지정보!$C$9:$C$50,0),5))</f>
        <v>2288-646X</v>
      </c>
      <c r="L40" s="38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9">
        <f t="shared" si="0"/>
        <v>0</v>
      </c>
    </row>
    <row r="41" spans="1:28" ht="17.399999999999999">
      <c r="B41" s="34">
        <f t="shared" si="1"/>
        <v>32</v>
      </c>
      <c r="C41" s="35">
        <v>2014</v>
      </c>
      <c r="D41" s="36">
        <v>3</v>
      </c>
      <c r="E41" s="102" t="s">
        <v>592</v>
      </c>
      <c r="F41" s="30" t="s">
        <v>237</v>
      </c>
      <c r="G41" s="7" t="s">
        <v>200</v>
      </c>
      <c r="H41" s="7" t="s">
        <v>201</v>
      </c>
      <c r="I41" s="37" t="str">
        <f>INDEX(학술지정보!$C$9:$O$50,MATCH($H41,학술지정보!$C$9:$C$50,0),2)</f>
        <v>비SCI</v>
      </c>
      <c r="J41" s="37" t="str">
        <f t="array" ref="J41">INDEX(학술지정보!$C$9:$O$50,MATCH($H41,학술지정보!$C$9:$C$50,0),3)</f>
        <v>1598-0820</v>
      </c>
      <c r="K41" s="37" t="str">
        <f t="array" ref="K41">IF(INDEX(학술지정보!$C$9:$O$50,MATCH($H41,학술지정보!$C$9:$C$50,0),5)=0,"",INDEX(학술지정보!$C$9:$O$50,MATCH($H41,학술지정보!$C$9:$C$50,0),5))</f>
        <v/>
      </c>
      <c r="L41" s="38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9">
        <f t="shared" si="0"/>
        <v>0</v>
      </c>
    </row>
    <row r="42" spans="1:28" ht="17.399999999999999">
      <c r="B42" s="34">
        <f t="shared" si="1"/>
        <v>33</v>
      </c>
      <c r="C42" s="35">
        <v>2014</v>
      </c>
      <c r="D42" s="36">
        <v>4</v>
      </c>
      <c r="E42" s="103" t="s">
        <v>584</v>
      </c>
      <c r="F42" s="30" t="s">
        <v>585</v>
      </c>
      <c r="G42" s="7" t="s">
        <v>187</v>
      </c>
      <c r="H42" s="7" t="s">
        <v>188</v>
      </c>
      <c r="I42" s="37" t="str">
        <f>INDEX(학술지정보!$C$9:$O$50,MATCH($H42,학술지정보!$C$9:$C$50,0),2)</f>
        <v>비SCI</v>
      </c>
      <c r="J42" s="37" t="str">
        <f t="array" ref="J42">INDEX(학술지정보!$C$9:$O$50,MATCH($H42,학술지정보!$C$9:$C$50,0),3)</f>
        <v>1229-2427</v>
      </c>
      <c r="K42" s="37" t="str">
        <f t="array" ref="K42">IF(INDEX(학술지정보!$C$9:$O$50,MATCH($H42,학술지정보!$C$9:$C$50,0),5)=0,"",INDEX(학술지정보!$C$9:$O$50,MATCH($H42,학술지정보!$C$9:$C$50,0),5))</f>
        <v>2288-646X</v>
      </c>
      <c r="L42" s="38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9">
        <f t="shared" si="0"/>
        <v>0</v>
      </c>
    </row>
    <row r="43" spans="1:28" ht="17.399999999999999">
      <c r="B43" s="34">
        <f t="shared" si="1"/>
        <v>34</v>
      </c>
      <c r="C43" s="35">
        <v>2014</v>
      </c>
      <c r="D43" s="36">
        <v>5</v>
      </c>
      <c r="E43" s="103" t="s">
        <v>586</v>
      </c>
      <c r="F43" s="30" t="s">
        <v>238</v>
      </c>
      <c r="G43" s="7" t="s">
        <v>187</v>
      </c>
      <c r="H43" s="7" t="s">
        <v>188</v>
      </c>
      <c r="I43" s="37" t="str">
        <f>INDEX(학술지정보!$C$9:$O$50,MATCH($H43,학술지정보!$C$9:$C$50,0),2)</f>
        <v>비SCI</v>
      </c>
      <c r="J43" s="37" t="str">
        <f t="array" ref="J43">INDEX(학술지정보!$C$9:$O$50,MATCH($H43,학술지정보!$C$9:$C$50,0),3)</f>
        <v>1229-2427</v>
      </c>
      <c r="K43" s="37" t="str">
        <f t="array" ref="K43">IF(INDEX(학술지정보!$C$9:$O$50,MATCH($H43,학술지정보!$C$9:$C$50,0),5)=0,"",INDEX(학술지정보!$C$9:$O$50,MATCH($H43,학술지정보!$C$9:$C$50,0),5))</f>
        <v>2288-646X</v>
      </c>
      <c r="L43" s="38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9">
        <f t="shared" si="0"/>
        <v>0</v>
      </c>
    </row>
    <row r="44" spans="1:28" ht="17.399999999999999">
      <c r="B44" s="34">
        <f t="shared" si="1"/>
        <v>35</v>
      </c>
      <c r="C44" s="35">
        <v>2014</v>
      </c>
      <c r="D44" s="36">
        <v>6</v>
      </c>
      <c r="E44" s="103" t="s">
        <v>587</v>
      </c>
      <c r="F44" s="30" t="s">
        <v>239</v>
      </c>
      <c r="G44" s="7" t="s">
        <v>187</v>
      </c>
      <c r="H44" s="7" t="s">
        <v>188</v>
      </c>
      <c r="I44" s="37" t="str">
        <f>INDEX(학술지정보!$C$9:$O$50,MATCH($H44,학술지정보!$C$9:$C$50,0),2)</f>
        <v>비SCI</v>
      </c>
      <c r="J44" s="37" t="str">
        <f t="array" ref="J44">INDEX(학술지정보!$C$9:$O$50,MATCH($H44,학술지정보!$C$9:$C$50,0),3)</f>
        <v>1229-2427</v>
      </c>
      <c r="K44" s="37" t="str">
        <f t="array" ref="K44">IF(INDEX(학술지정보!$C$9:$O$50,MATCH($H44,학술지정보!$C$9:$C$50,0),5)=0,"",INDEX(학술지정보!$C$9:$O$50,MATCH($H44,학술지정보!$C$9:$C$50,0),5))</f>
        <v>2288-646X</v>
      </c>
      <c r="L44" s="38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9">
        <f t="shared" si="0"/>
        <v>0</v>
      </c>
    </row>
    <row r="45" spans="1:28" ht="17.399999999999999">
      <c r="B45" s="34">
        <f t="shared" si="1"/>
        <v>36</v>
      </c>
      <c r="C45" s="35">
        <v>2014</v>
      </c>
      <c r="D45" s="36">
        <v>7</v>
      </c>
      <c r="E45" s="108" t="s">
        <v>628</v>
      </c>
      <c r="F45" s="30" t="s">
        <v>240</v>
      </c>
      <c r="G45" s="7" t="s">
        <v>193</v>
      </c>
      <c r="H45" s="7" t="s">
        <v>194</v>
      </c>
      <c r="I45" s="37" t="str">
        <f>INDEX(학술지정보!$C$9:$O$50,MATCH($H45,학술지정보!$C$9:$C$50,0),2)</f>
        <v>비SCI</v>
      </c>
      <c r="J45" s="37" t="str">
        <f t="array" ref="J45">INDEX(학술지정보!$C$9:$O$50,MATCH($H45,학술지정보!$C$9:$C$50,0),3)</f>
        <v>2233-8292</v>
      </c>
      <c r="K45" s="37" t="str">
        <f t="array" ref="K45">IF(INDEX(학술지정보!$C$9:$O$50,MATCH($H45,학술지정보!$C$9:$C$50,0),5)=0,"",INDEX(학술지정보!$C$9:$O$50,MATCH($H45,학술지정보!$C$9:$C$50,0),5))</f>
        <v>2287-4747</v>
      </c>
      <c r="L45" s="38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9">
        <f t="shared" si="0"/>
        <v>0</v>
      </c>
    </row>
    <row r="46" spans="1:28" ht="17.399999999999999">
      <c r="B46" s="34">
        <f t="shared" si="1"/>
        <v>37</v>
      </c>
      <c r="C46" s="35">
        <v>2014</v>
      </c>
      <c r="D46" s="36">
        <v>8</v>
      </c>
      <c r="E46" s="104" t="s">
        <v>582</v>
      </c>
      <c r="F46" s="30" t="s">
        <v>583</v>
      </c>
      <c r="G46" s="7" t="s">
        <v>200</v>
      </c>
      <c r="H46" s="7" t="s">
        <v>201</v>
      </c>
      <c r="I46" s="37" t="str">
        <f>INDEX(학술지정보!$C$9:$O$50,MATCH($H46,학술지정보!$C$9:$C$50,0),2)</f>
        <v>비SCI</v>
      </c>
      <c r="J46" s="37" t="str">
        <f t="array" ref="J46">INDEX(학술지정보!$C$9:$O$50,MATCH($H46,학술지정보!$C$9:$C$50,0),3)</f>
        <v>1598-0820</v>
      </c>
      <c r="K46" s="37" t="str">
        <f t="array" ref="K46">IF(INDEX(학술지정보!$C$9:$O$50,MATCH($H46,학술지정보!$C$9:$C$50,0),5)=0,"",INDEX(학술지정보!$C$9:$O$50,MATCH($H46,학술지정보!$C$9:$C$50,0),5))</f>
        <v/>
      </c>
      <c r="L46" s="38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9">
        <f t="shared" si="0"/>
        <v>0</v>
      </c>
    </row>
    <row r="47" spans="1:28" ht="34.799999999999997">
      <c r="B47" s="34">
        <f t="shared" si="1"/>
        <v>38</v>
      </c>
      <c r="C47" s="35">
        <v>2014</v>
      </c>
      <c r="D47" s="36">
        <v>9</v>
      </c>
      <c r="E47" s="109" t="s">
        <v>588</v>
      </c>
      <c r="F47" s="30" t="s">
        <v>589</v>
      </c>
      <c r="G47" s="7" t="s">
        <v>234</v>
      </c>
      <c r="H47" s="7" t="s">
        <v>362</v>
      </c>
      <c r="I47" s="37" t="str">
        <f>INDEX(학술지정보!$C$9:$O$50,MATCH($H47,학술지정보!$C$9:$C$50,0),2)</f>
        <v>비SCI</v>
      </c>
      <c r="J47" s="37" t="str">
        <f t="array" ref="J47">INDEX(학술지정보!$C$9:$O$50,MATCH($H47,학술지정보!$C$9:$C$50,0),3)</f>
        <v>1738-2424</v>
      </c>
      <c r="K47" s="37" t="str">
        <f t="array" ref="K47">IF(INDEX(학술지정보!$C$9:$O$50,MATCH($H47,학술지정보!$C$9:$C$50,0),5)=0,"",INDEX(학술지정보!$C$9:$O$50,MATCH($H47,학술지정보!$C$9:$C$50,0),5))</f>
        <v>2287-6723</v>
      </c>
      <c r="L47" s="38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9">
        <f t="shared" si="0"/>
        <v>0</v>
      </c>
    </row>
    <row r="48" spans="1:28" ht="34.799999999999997">
      <c r="A48" s="40"/>
      <c r="B48" s="34">
        <f t="shared" si="1"/>
        <v>39</v>
      </c>
      <c r="C48" s="35">
        <v>2014</v>
      </c>
      <c r="D48" s="36">
        <v>10</v>
      </c>
      <c r="E48" s="110" t="s">
        <v>591</v>
      </c>
      <c r="F48" s="30" t="s">
        <v>590</v>
      </c>
      <c r="G48" s="7" t="s">
        <v>234</v>
      </c>
      <c r="H48" s="7" t="s">
        <v>235</v>
      </c>
      <c r="I48" s="37" t="str">
        <f>INDEX(학술지정보!$C$9:$O$50,MATCH($H48,학술지정보!$C$9:$C$50,0),2)</f>
        <v>비SCI</v>
      </c>
      <c r="J48" s="37" t="str">
        <f t="array" ref="J48">INDEX(학술지정보!$C$9:$O$50,MATCH($H48,학술지정보!$C$9:$C$50,0),3)</f>
        <v>1738-2424</v>
      </c>
      <c r="K48" s="37" t="str">
        <f t="array" ref="K48">IF(INDEX(학술지정보!$C$9:$O$50,MATCH($H48,학술지정보!$C$9:$C$50,0),5)=0,"",INDEX(학술지정보!$C$9:$O$50,MATCH($H48,학술지정보!$C$9:$C$50,0),5))</f>
        <v>2287-6723</v>
      </c>
      <c r="L48" s="38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9">
        <f t="shared" si="0"/>
        <v>0</v>
      </c>
    </row>
    <row r="49" spans="1:28" ht="34.799999999999997">
      <c r="B49" s="34">
        <f t="shared" si="1"/>
        <v>40</v>
      </c>
      <c r="C49" s="35">
        <v>2015</v>
      </c>
      <c r="D49" s="36">
        <v>1</v>
      </c>
      <c r="E49" s="103" t="s">
        <v>596</v>
      </c>
      <c r="F49" s="30" t="s">
        <v>595</v>
      </c>
      <c r="G49" s="7" t="s">
        <v>187</v>
      </c>
      <c r="H49" s="7" t="s">
        <v>188</v>
      </c>
      <c r="I49" s="37" t="str">
        <f>INDEX(학술지정보!$C$9:$O$50,MATCH($H49,학술지정보!$C$9:$C$50,0),2)</f>
        <v>비SCI</v>
      </c>
      <c r="J49" s="37" t="str">
        <f t="array" ref="J49">INDEX(학술지정보!$C$9:$O$50,MATCH($H49,학술지정보!$C$9:$C$50,0),3)</f>
        <v>1229-2427</v>
      </c>
      <c r="K49" s="37" t="str">
        <f t="array" ref="K49">IF(INDEX(학술지정보!$C$9:$O$50,MATCH($H49,학술지정보!$C$9:$C$50,0),5)=0,"",INDEX(학술지정보!$C$9:$O$50,MATCH($H49,학술지정보!$C$9:$C$50,0),5))</f>
        <v>2288-646X</v>
      </c>
      <c r="L49" s="38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9">
        <f t="shared" si="0"/>
        <v>0</v>
      </c>
    </row>
    <row r="50" spans="1:28" ht="17.399999999999999">
      <c r="B50" s="34">
        <f t="shared" si="1"/>
        <v>41</v>
      </c>
      <c r="C50" s="35">
        <v>2015</v>
      </c>
      <c r="D50" s="36">
        <v>2</v>
      </c>
      <c r="E50" s="103" t="s">
        <v>599</v>
      </c>
      <c r="F50" s="30" t="s">
        <v>600</v>
      </c>
      <c r="G50" s="7" t="s">
        <v>200</v>
      </c>
      <c r="H50" s="7" t="s">
        <v>201</v>
      </c>
      <c r="I50" s="37" t="str">
        <f>INDEX(학술지정보!$C$9:$O$50,MATCH($H50,학술지정보!$C$9:$C$50,0),2)</f>
        <v>비SCI</v>
      </c>
      <c r="J50" s="37" t="str">
        <f t="array" ref="J50">INDEX(학술지정보!$C$9:$O$50,MATCH($H50,학술지정보!$C$9:$C$50,0),3)</f>
        <v>1598-0820</v>
      </c>
      <c r="K50" s="37" t="str">
        <f t="array" ref="K50">IF(INDEX(학술지정보!$C$9:$O$50,MATCH($H50,학술지정보!$C$9:$C$50,0),5)=0,"",INDEX(학술지정보!$C$9:$O$50,MATCH($H50,학술지정보!$C$9:$C$50,0),5))</f>
        <v/>
      </c>
      <c r="L50" s="38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9">
        <f t="shared" si="0"/>
        <v>0</v>
      </c>
    </row>
    <row r="51" spans="1:28" ht="17.399999999999999">
      <c r="B51" s="34">
        <f t="shared" si="1"/>
        <v>42</v>
      </c>
      <c r="C51" s="35">
        <v>2015</v>
      </c>
      <c r="D51" s="36">
        <v>3</v>
      </c>
      <c r="E51" s="103" t="s">
        <v>597</v>
      </c>
      <c r="F51" s="30" t="s">
        <v>598</v>
      </c>
      <c r="G51" s="7" t="s">
        <v>187</v>
      </c>
      <c r="H51" s="7" t="s">
        <v>188</v>
      </c>
      <c r="I51" s="37" t="str">
        <f>INDEX(학술지정보!$C$9:$O$50,MATCH($H51,학술지정보!$C$9:$C$50,0),2)</f>
        <v>비SCI</v>
      </c>
      <c r="J51" s="37" t="str">
        <f t="array" ref="J51">INDEX(학술지정보!$C$9:$O$50,MATCH($H51,학술지정보!$C$9:$C$50,0),3)</f>
        <v>1229-2427</v>
      </c>
      <c r="K51" s="37" t="str">
        <f t="array" ref="K51">IF(INDEX(학술지정보!$C$9:$O$50,MATCH($H51,학술지정보!$C$9:$C$50,0),5)=0,"",INDEX(학술지정보!$C$9:$O$50,MATCH($H51,학술지정보!$C$9:$C$50,0),5))</f>
        <v>2288-646X</v>
      </c>
      <c r="L51" s="38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9">
        <f t="shared" si="0"/>
        <v>0</v>
      </c>
    </row>
    <row r="52" spans="1:28" ht="34.799999999999997">
      <c r="B52" s="34">
        <f t="shared" si="1"/>
        <v>43</v>
      </c>
      <c r="C52" s="35">
        <v>2015</v>
      </c>
      <c r="D52" s="36">
        <v>4</v>
      </c>
      <c r="E52" s="102" t="s">
        <v>601</v>
      </c>
      <c r="F52" s="30" t="s">
        <v>602</v>
      </c>
      <c r="G52" s="7" t="s">
        <v>200</v>
      </c>
      <c r="H52" s="7" t="s">
        <v>201</v>
      </c>
      <c r="I52" s="37" t="str">
        <f>INDEX(학술지정보!$C$9:$O$50,MATCH($H52,학술지정보!$C$9:$C$50,0),2)</f>
        <v>비SCI</v>
      </c>
      <c r="J52" s="37" t="str">
        <f t="array" ref="J52">INDEX(학술지정보!$C$9:$O$50,MATCH($H52,학술지정보!$C$9:$C$50,0),3)</f>
        <v>1598-0820</v>
      </c>
      <c r="K52" s="37" t="str">
        <f t="array" ref="K52">IF(INDEX(학술지정보!$C$9:$O$50,MATCH($H52,학술지정보!$C$9:$C$50,0),5)=0,"",INDEX(학술지정보!$C$9:$O$50,MATCH($H52,학술지정보!$C$9:$C$50,0),5))</f>
        <v/>
      </c>
      <c r="L52" s="38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9">
        <f t="shared" si="0"/>
        <v>0</v>
      </c>
    </row>
    <row r="53" spans="1:28" ht="34.799999999999997">
      <c r="B53" s="34">
        <f t="shared" si="1"/>
        <v>44</v>
      </c>
      <c r="C53" s="35">
        <v>2015</v>
      </c>
      <c r="D53" s="36">
        <v>5</v>
      </c>
      <c r="E53" s="103" t="s">
        <v>604</v>
      </c>
      <c r="F53" s="30" t="s">
        <v>603</v>
      </c>
      <c r="G53" s="41" t="s">
        <v>187</v>
      </c>
      <c r="H53" s="41" t="s">
        <v>188</v>
      </c>
      <c r="I53" s="37" t="str">
        <f>INDEX(학술지정보!$C$9:$O$50,MATCH($H53,학술지정보!$C$9:$C$50,0),2)</f>
        <v>비SCI</v>
      </c>
      <c r="J53" s="37" t="str">
        <f t="array" ref="J53">INDEX(학술지정보!$C$9:$O$50,MATCH($H53,학술지정보!$C$9:$C$50,0),3)</f>
        <v>1229-2427</v>
      </c>
      <c r="K53" s="37" t="str">
        <f t="array" ref="K53">IF(INDEX(학술지정보!$C$9:$O$50,MATCH($H53,학술지정보!$C$9:$C$50,0),5)=0,"",INDEX(학술지정보!$C$9:$O$50,MATCH($H53,학술지정보!$C$9:$C$50,0),5))</f>
        <v>2288-646X</v>
      </c>
      <c r="L53" s="38" t="s">
        <v>241</v>
      </c>
      <c r="M53" s="36" t="s">
        <v>242</v>
      </c>
      <c r="N53" s="36">
        <v>31</v>
      </c>
      <c r="O53" s="36">
        <v>4</v>
      </c>
      <c r="P53" s="36"/>
      <c r="Q53" s="36" t="s">
        <v>243</v>
      </c>
      <c r="R53" s="36">
        <v>201504</v>
      </c>
      <c r="S53" s="36" t="s">
        <v>244</v>
      </c>
      <c r="T53" s="36" t="s">
        <v>12</v>
      </c>
      <c r="U53" s="36" t="s">
        <v>245</v>
      </c>
      <c r="V53" s="36" t="s">
        <v>246</v>
      </c>
      <c r="W53" s="36" t="s">
        <v>247</v>
      </c>
      <c r="X53" s="36" t="s">
        <v>248</v>
      </c>
      <c r="Y53" s="36"/>
      <c r="Z53" s="36"/>
      <c r="AA53" s="36"/>
      <c r="AB53" s="39">
        <f t="shared" si="0"/>
        <v>6</v>
      </c>
    </row>
    <row r="54" spans="1:28" ht="17.399999999999999">
      <c r="B54" s="34">
        <f t="shared" si="1"/>
        <v>45</v>
      </c>
      <c r="C54" s="42">
        <v>2015</v>
      </c>
      <c r="D54" s="36">
        <v>6</v>
      </c>
      <c r="E54" s="105" t="s">
        <v>605</v>
      </c>
      <c r="F54" s="10" t="s">
        <v>249</v>
      </c>
      <c r="G54" s="7" t="s">
        <v>187</v>
      </c>
      <c r="H54" s="7" t="s">
        <v>188</v>
      </c>
      <c r="I54" s="37" t="str">
        <f>INDEX(학술지정보!$C$9:$O$50,MATCH($H54,학술지정보!$C$9:$C$50,0),2)</f>
        <v>비SCI</v>
      </c>
      <c r="J54" s="37" t="str">
        <f t="array" ref="J54">INDEX(학술지정보!$C$9:$O$50,MATCH($H54,학술지정보!$C$9:$C$50,0),3)</f>
        <v>1229-2427</v>
      </c>
      <c r="K54" s="37" t="str">
        <f t="array" ref="K54">IF(INDEX(학술지정보!$C$9:$O$50,MATCH($H54,학술지정보!$C$9:$C$50,0),5)=0,"",INDEX(학술지정보!$C$9:$O$50,MATCH($H54,학술지정보!$C$9:$C$50,0),5))</f>
        <v>2288-646X</v>
      </c>
      <c r="L54" s="43" t="s">
        <v>250</v>
      </c>
      <c r="M54" s="7" t="s">
        <v>242</v>
      </c>
      <c r="N54" s="7">
        <v>31</v>
      </c>
      <c r="O54" s="7">
        <v>4</v>
      </c>
      <c r="P54" s="7"/>
      <c r="Q54" s="7" t="s">
        <v>251</v>
      </c>
      <c r="R54" s="7">
        <v>201504</v>
      </c>
      <c r="S54" s="7" t="s">
        <v>252</v>
      </c>
      <c r="T54" s="7" t="s">
        <v>12</v>
      </c>
      <c r="U54" s="7" t="s">
        <v>246</v>
      </c>
      <c r="V54" s="7" t="s">
        <v>253</v>
      </c>
      <c r="W54" s="7"/>
      <c r="X54" s="7"/>
      <c r="Y54" s="7"/>
      <c r="Z54" s="7"/>
      <c r="AA54" s="7"/>
      <c r="AB54" s="44">
        <f t="shared" si="0"/>
        <v>4</v>
      </c>
    </row>
    <row r="55" spans="1:28" ht="17.399999999999999">
      <c r="A55" s="113"/>
      <c r="B55" s="34">
        <f t="shared" si="1"/>
        <v>46</v>
      </c>
      <c r="C55" s="42">
        <v>2015</v>
      </c>
      <c r="D55" s="36">
        <v>7</v>
      </c>
      <c r="E55" s="105" t="s">
        <v>607</v>
      </c>
      <c r="F55" s="10" t="s">
        <v>629</v>
      </c>
      <c r="G55" s="7" t="s">
        <v>187</v>
      </c>
      <c r="H55" s="7" t="s">
        <v>188</v>
      </c>
      <c r="I55" s="37" t="str">
        <f>INDEX(학술지정보!$C$9:$O$50,MATCH($H55,학술지정보!$C$9:$C$50,0),2)</f>
        <v>비SCI</v>
      </c>
      <c r="J55" s="37" t="str">
        <f t="array" ref="J55">INDEX(학술지정보!$C$9:$O$50,MATCH($H55,학술지정보!$C$9:$C$50,0),3)</f>
        <v>1229-2427</v>
      </c>
      <c r="K55" s="37" t="str">
        <f t="array" ref="K55">IF(INDEX(학술지정보!$C$9:$O$50,MATCH($H55,학술지정보!$C$9:$C$50,0),5)=0,"",INDEX(학술지정보!$C$9:$O$50,MATCH($H55,학술지정보!$C$9:$C$50,0),5))</f>
        <v>2288-646X</v>
      </c>
      <c r="L55" s="43" t="s">
        <v>254</v>
      </c>
      <c r="M55" s="7" t="s">
        <v>242</v>
      </c>
      <c r="N55" s="7">
        <v>31</v>
      </c>
      <c r="O55" s="7">
        <v>9</v>
      </c>
      <c r="P55" s="7"/>
      <c r="Q55" s="7" t="s">
        <v>255</v>
      </c>
      <c r="R55" s="7">
        <v>201509</v>
      </c>
      <c r="S55" s="7" t="s">
        <v>256</v>
      </c>
      <c r="T55" s="7" t="s">
        <v>12</v>
      </c>
      <c r="U55" s="7"/>
      <c r="V55" s="7"/>
      <c r="W55" s="7"/>
      <c r="X55" s="7"/>
      <c r="Y55" s="7"/>
      <c r="Z55" s="7"/>
      <c r="AA55" s="7"/>
      <c r="AB55" s="44">
        <f t="shared" si="0"/>
        <v>2</v>
      </c>
    </row>
    <row r="56" spans="1:28" ht="17.399999999999999">
      <c r="B56" s="34">
        <f t="shared" si="1"/>
        <v>47</v>
      </c>
      <c r="C56" s="42">
        <v>2015</v>
      </c>
      <c r="D56" s="36">
        <v>8</v>
      </c>
      <c r="E56" s="105" t="s">
        <v>606</v>
      </c>
      <c r="F56" s="10" t="s">
        <v>257</v>
      </c>
      <c r="G56" s="7" t="s">
        <v>200</v>
      </c>
      <c r="H56" s="7" t="s">
        <v>201</v>
      </c>
      <c r="I56" s="37" t="str">
        <f>INDEX(학술지정보!$C$9:$O$50,MATCH($H56,학술지정보!$C$9:$C$50,0),2)</f>
        <v>비SCI</v>
      </c>
      <c r="J56" s="37" t="str">
        <f t="array" ref="J56">INDEX(학술지정보!$C$9:$O$50,MATCH($H56,학술지정보!$C$9:$C$50,0),3)</f>
        <v>1598-0820</v>
      </c>
      <c r="K56" s="37" t="str">
        <f t="array" ref="K56">IF(INDEX(학술지정보!$C$9:$O$50,MATCH($H56,학술지정보!$C$9:$C$50,0),5)=0,"",INDEX(학술지정보!$C$9:$O$50,MATCH($H56,학술지정보!$C$9:$C$50,0),5))</f>
        <v/>
      </c>
      <c r="L56" s="43" t="s">
        <v>258</v>
      </c>
      <c r="M56" s="7" t="s">
        <v>242</v>
      </c>
      <c r="N56" s="7">
        <v>16</v>
      </c>
      <c r="O56" s="7">
        <v>9</v>
      </c>
      <c r="P56" s="7"/>
      <c r="Q56" s="7" t="s">
        <v>259</v>
      </c>
      <c r="R56" s="7">
        <v>201509</v>
      </c>
      <c r="S56" s="7" t="s">
        <v>260</v>
      </c>
      <c r="T56" s="7" t="s">
        <v>12</v>
      </c>
      <c r="U56" s="7" t="s">
        <v>261</v>
      </c>
      <c r="V56" s="7" t="s">
        <v>262</v>
      </c>
      <c r="W56" s="7"/>
      <c r="X56" s="7"/>
      <c r="Y56" s="7"/>
      <c r="Z56" s="7"/>
      <c r="AA56" s="7"/>
      <c r="AB56" s="44">
        <f t="shared" si="0"/>
        <v>4</v>
      </c>
    </row>
    <row r="57" spans="1:28" ht="17.399999999999999">
      <c r="B57" s="34">
        <f t="shared" si="1"/>
        <v>48</v>
      </c>
      <c r="C57" s="42">
        <v>2016</v>
      </c>
      <c r="D57" s="7">
        <v>1</v>
      </c>
      <c r="E57" s="105" t="s">
        <v>263</v>
      </c>
      <c r="F57" s="10" t="s">
        <v>626</v>
      </c>
      <c r="G57" s="7" t="s">
        <v>193</v>
      </c>
      <c r="H57" s="7" t="s">
        <v>194</v>
      </c>
      <c r="I57" s="37" t="str">
        <f>INDEX(학술지정보!$C$9:$O$50,MATCH($H57,학술지정보!$C$9:$C$50,0),2)</f>
        <v>비SCI</v>
      </c>
      <c r="J57" s="37" t="str">
        <f t="array" ref="J57">INDEX(학술지정보!$C$9:$O$50,MATCH($H57,학술지정보!$C$9:$C$50,0),3)</f>
        <v>2233-8292</v>
      </c>
      <c r="K57" s="37" t="str">
        <f t="array" ref="K57">IF(INDEX(학술지정보!$C$9:$O$50,MATCH($H57,학술지정보!$C$9:$C$50,0),5)=0,"",INDEX(학술지정보!$C$9:$O$50,MATCH($H57,학술지정보!$C$9:$C$50,0),5))</f>
        <v>2287-4747</v>
      </c>
      <c r="L57" s="43" t="s">
        <v>264</v>
      </c>
      <c r="M57" s="7" t="s">
        <v>242</v>
      </c>
      <c r="N57" s="7">
        <v>18</v>
      </c>
      <c r="O57" s="7">
        <v>2</v>
      </c>
      <c r="P57" s="7"/>
      <c r="Q57" s="7" t="s">
        <v>265</v>
      </c>
      <c r="R57" s="7">
        <v>201603</v>
      </c>
      <c r="S57" s="7" t="s">
        <v>12</v>
      </c>
      <c r="T57" s="7" t="s">
        <v>12</v>
      </c>
      <c r="U57" s="7" t="s">
        <v>266</v>
      </c>
      <c r="V57" s="7" t="s">
        <v>267</v>
      </c>
      <c r="W57" s="7" t="s">
        <v>268</v>
      </c>
      <c r="X57" s="7"/>
      <c r="Y57" s="7"/>
      <c r="Z57" s="7"/>
      <c r="AA57" s="7"/>
      <c r="AB57" s="44">
        <f t="shared" si="0"/>
        <v>5</v>
      </c>
    </row>
    <row r="58" spans="1:28" ht="17.399999999999999">
      <c r="B58" s="34">
        <f t="shared" si="1"/>
        <v>49</v>
      </c>
      <c r="C58" s="42">
        <v>2016</v>
      </c>
      <c r="D58" s="7">
        <v>2</v>
      </c>
      <c r="E58" s="105" t="s">
        <v>269</v>
      </c>
      <c r="F58" s="10" t="s">
        <v>270</v>
      </c>
      <c r="G58" s="7" t="s">
        <v>187</v>
      </c>
      <c r="H58" s="7" t="s">
        <v>188</v>
      </c>
      <c r="I58" s="37" t="str">
        <f>INDEX(학술지정보!$C$9:$O$50,MATCH($H58,학술지정보!$C$9:$C$50,0),2)</f>
        <v>비SCI</v>
      </c>
      <c r="J58" s="37" t="str">
        <f t="array" ref="J58">INDEX(학술지정보!$C$9:$O$50,MATCH($H58,학술지정보!$C$9:$C$50,0),3)</f>
        <v>1229-2427</v>
      </c>
      <c r="K58" s="37" t="str">
        <f t="array" ref="K58">IF(INDEX(학술지정보!$C$9:$O$50,MATCH($H58,학술지정보!$C$9:$C$50,0),5)=0,"",INDEX(학술지정보!$C$9:$O$50,MATCH($H58,학술지정보!$C$9:$C$50,0),5))</f>
        <v>2288-646X</v>
      </c>
      <c r="L58" s="43" t="s">
        <v>271</v>
      </c>
      <c r="M58" s="7" t="s">
        <v>242</v>
      </c>
      <c r="N58" s="7">
        <v>32</v>
      </c>
      <c r="O58" s="7">
        <v>6</v>
      </c>
      <c r="P58" s="7"/>
      <c r="Q58" s="7" t="s">
        <v>272</v>
      </c>
      <c r="R58" s="7">
        <v>201606</v>
      </c>
      <c r="S58" s="7" t="s">
        <v>273</v>
      </c>
      <c r="T58" s="7" t="s">
        <v>12</v>
      </c>
      <c r="U58" s="7" t="s">
        <v>267</v>
      </c>
      <c r="V58" s="7" t="s">
        <v>274</v>
      </c>
      <c r="W58" s="7"/>
      <c r="X58" s="7"/>
      <c r="Y58" s="7"/>
      <c r="Z58" s="7"/>
      <c r="AA58" s="7"/>
      <c r="AB58" s="44">
        <f t="shared" si="0"/>
        <v>4</v>
      </c>
    </row>
    <row r="59" spans="1:28" ht="17.399999999999999">
      <c r="B59" s="34">
        <f t="shared" si="1"/>
        <v>50</v>
      </c>
      <c r="C59" s="42">
        <v>2016</v>
      </c>
      <c r="D59" s="7">
        <v>3</v>
      </c>
      <c r="E59" s="105" t="s">
        <v>275</v>
      </c>
      <c r="F59" s="10" t="s">
        <v>276</v>
      </c>
      <c r="G59" s="7" t="s">
        <v>187</v>
      </c>
      <c r="H59" s="7" t="s">
        <v>188</v>
      </c>
      <c r="I59" s="37" t="str">
        <f>INDEX(학술지정보!$C$9:$O$50,MATCH($H59,학술지정보!$C$9:$C$50,0),2)</f>
        <v>비SCI</v>
      </c>
      <c r="J59" s="37" t="str">
        <f t="array" ref="J59">INDEX(학술지정보!$C$9:$O$50,MATCH($H59,학술지정보!$C$9:$C$50,0),3)</f>
        <v>1229-2427</v>
      </c>
      <c r="K59" s="37" t="str">
        <f t="array" ref="K59">IF(INDEX(학술지정보!$C$9:$O$50,MATCH($H59,학술지정보!$C$9:$C$50,0),5)=0,"",INDEX(학술지정보!$C$9:$O$50,MATCH($H59,학술지정보!$C$9:$C$50,0),5))</f>
        <v>2288-646X</v>
      </c>
      <c r="L59" s="43" t="s">
        <v>277</v>
      </c>
      <c r="M59" s="7" t="s">
        <v>242</v>
      </c>
      <c r="N59" s="7">
        <v>32</v>
      </c>
      <c r="O59" s="7">
        <v>7</v>
      </c>
      <c r="P59" s="7"/>
      <c r="Q59" s="7" t="s">
        <v>278</v>
      </c>
      <c r="R59" s="7">
        <v>201607</v>
      </c>
      <c r="S59" s="7" t="s">
        <v>268</v>
      </c>
      <c r="T59" s="7" t="s">
        <v>12</v>
      </c>
      <c r="U59" s="7" t="s">
        <v>279</v>
      </c>
      <c r="V59" s="7" t="s">
        <v>273</v>
      </c>
      <c r="W59" s="7"/>
      <c r="X59" s="7"/>
      <c r="Y59" s="7"/>
      <c r="Z59" s="7"/>
      <c r="AA59" s="7"/>
      <c r="AB59" s="44">
        <f t="shared" si="0"/>
        <v>4</v>
      </c>
    </row>
    <row r="60" spans="1:28" ht="17.399999999999999">
      <c r="B60" s="34">
        <f t="shared" si="1"/>
        <v>51</v>
      </c>
      <c r="C60" s="35">
        <v>2016</v>
      </c>
      <c r="D60" s="36">
        <v>4</v>
      </c>
      <c r="E60" s="103" t="s">
        <v>608</v>
      </c>
      <c r="F60" s="30" t="s">
        <v>609</v>
      </c>
      <c r="G60" s="7" t="s">
        <v>187</v>
      </c>
      <c r="H60" s="7" t="s">
        <v>188</v>
      </c>
      <c r="I60" s="37" t="str">
        <f>INDEX(학술지정보!$C$9:$O$50,MATCH($H60,학술지정보!$C$9:$C$50,0),2)</f>
        <v>비SCI</v>
      </c>
      <c r="J60" s="37" t="str">
        <f t="array" ref="J60">INDEX(학술지정보!$C$9:$O$50,MATCH($H60,학술지정보!$C$9:$C$50,0),3)</f>
        <v>1229-2427</v>
      </c>
      <c r="K60" s="37" t="str">
        <f t="array" ref="K60">IF(INDEX(학술지정보!$C$9:$O$50,MATCH($H60,학술지정보!$C$9:$C$50,0),5)=0,"",INDEX(학술지정보!$C$9:$O$50,MATCH($H60,학술지정보!$C$9:$C$50,0),5))</f>
        <v>2288-646X</v>
      </c>
      <c r="L60" s="38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9">
        <f t="shared" si="0"/>
        <v>0</v>
      </c>
    </row>
    <row r="61" spans="1:28" ht="17.399999999999999">
      <c r="B61" s="34">
        <f t="shared" si="1"/>
        <v>52</v>
      </c>
      <c r="C61" s="35">
        <v>2016</v>
      </c>
      <c r="D61" s="36">
        <v>5</v>
      </c>
      <c r="E61" s="103" t="s">
        <v>575</v>
      </c>
      <c r="F61" s="30" t="s">
        <v>576</v>
      </c>
      <c r="G61" s="7" t="s">
        <v>200</v>
      </c>
      <c r="H61" s="7" t="s">
        <v>201</v>
      </c>
      <c r="I61" s="37"/>
      <c r="J61" s="37"/>
      <c r="K61" s="37"/>
      <c r="L61" s="38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9"/>
    </row>
    <row r="62" spans="1:28" ht="17.399999999999999">
      <c r="B62" s="34">
        <f t="shared" si="1"/>
        <v>53</v>
      </c>
      <c r="C62" s="42">
        <v>2017</v>
      </c>
      <c r="D62" s="7">
        <v>1</v>
      </c>
      <c r="E62" s="105" t="s">
        <v>280</v>
      </c>
      <c r="F62" s="10" t="s">
        <v>281</v>
      </c>
      <c r="G62" s="7" t="s">
        <v>187</v>
      </c>
      <c r="H62" s="7" t="s">
        <v>188</v>
      </c>
      <c r="I62" s="37" t="str">
        <f>INDEX(학술지정보!$C$9:$O$50,MATCH($H62,학술지정보!$C$9:$C$50,0),2)</f>
        <v>비SCI</v>
      </c>
      <c r="J62" s="37" t="str">
        <f t="array" ref="J62">INDEX(학술지정보!$C$9:$O$50,MATCH($H62,학술지정보!$C$9:$C$50,0),3)</f>
        <v>1229-2427</v>
      </c>
      <c r="K62" s="37" t="str">
        <f t="array" ref="K62">IF(INDEX(학술지정보!$C$9:$O$50,MATCH($H62,학술지정보!$C$9:$C$50,0),5)=0,"",INDEX(학술지정보!$C$9:$O$50,MATCH($H62,학술지정보!$C$9:$C$50,0),5))</f>
        <v>2288-646X</v>
      </c>
      <c r="L62" s="43" t="s">
        <v>282</v>
      </c>
      <c r="M62" s="7" t="s">
        <v>242</v>
      </c>
      <c r="N62" s="7">
        <v>33</v>
      </c>
      <c r="O62" s="7">
        <v>3</v>
      </c>
      <c r="P62" s="7"/>
      <c r="Q62" s="7" t="s">
        <v>283</v>
      </c>
      <c r="R62" s="7">
        <v>201703</v>
      </c>
      <c r="S62" s="7" t="s">
        <v>256</v>
      </c>
      <c r="T62" s="7" t="s">
        <v>12</v>
      </c>
      <c r="U62" s="7" t="s">
        <v>262</v>
      </c>
      <c r="V62" s="7"/>
      <c r="W62" s="7"/>
      <c r="X62" s="7"/>
      <c r="Y62" s="7"/>
      <c r="Z62" s="7"/>
      <c r="AA62" s="7"/>
      <c r="AB62" s="44">
        <f t="shared" si="0"/>
        <v>3</v>
      </c>
    </row>
    <row r="63" spans="1:28" ht="17.399999999999999">
      <c r="B63" s="34">
        <f t="shared" si="1"/>
        <v>54</v>
      </c>
      <c r="C63" s="42">
        <v>2017</v>
      </c>
      <c r="D63" s="7">
        <v>2</v>
      </c>
      <c r="E63" s="105" t="s">
        <v>284</v>
      </c>
      <c r="F63" s="10" t="s">
        <v>285</v>
      </c>
      <c r="G63" s="7" t="s">
        <v>200</v>
      </c>
      <c r="H63" s="7" t="s">
        <v>201</v>
      </c>
      <c r="I63" s="37" t="str">
        <f>INDEX(학술지정보!$C$9:$O$50,MATCH($H63,학술지정보!$C$9:$C$50,0),2)</f>
        <v>비SCI</v>
      </c>
      <c r="J63" s="37" t="str">
        <f t="array" ref="J63">INDEX(학술지정보!$C$9:$O$50,MATCH($H63,학술지정보!$C$9:$C$50,0),3)</f>
        <v>1598-0820</v>
      </c>
      <c r="K63" s="37" t="str">
        <f t="array" ref="K63">IF(INDEX(학술지정보!$C$9:$O$50,MATCH($H63,학술지정보!$C$9:$C$50,0),5)=0,"",INDEX(학술지정보!$C$9:$O$50,MATCH($H63,학술지정보!$C$9:$C$50,0),5))</f>
        <v/>
      </c>
      <c r="L63" s="43" t="s">
        <v>286</v>
      </c>
      <c r="M63" s="7" t="s">
        <v>242</v>
      </c>
      <c r="N63" s="7">
        <v>18</v>
      </c>
      <c r="O63" s="7">
        <v>6</v>
      </c>
      <c r="P63" s="7"/>
      <c r="Q63" s="7" t="s">
        <v>287</v>
      </c>
      <c r="R63" s="7">
        <v>201706</v>
      </c>
      <c r="S63" s="7" t="s">
        <v>288</v>
      </c>
      <c r="T63" s="7" t="s">
        <v>262</v>
      </c>
      <c r="U63" s="7" t="s">
        <v>289</v>
      </c>
      <c r="V63" s="7" t="s">
        <v>12</v>
      </c>
      <c r="W63" s="7"/>
      <c r="X63" s="7"/>
      <c r="Y63" s="7"/>
      <c r="Z63" s="7"/>
      <c r="AA63" s="7"/>
      <c r="AB63" s="44">
        <f t="shared" si="0"/>
        <v>4</v>
      </c>
    </row>
    <row r="64" spans="1:28" ht="17.399999999999999">
      <c r="B64" s="34">
        <f t="shared" si="1"/>
        <v>55</v>
      </c>
      <c r="C64" s="42">
        <v>2017</v>
      </c>
      <c r="D64" s="7">
        <v>3</v>
      </c>
      <c r="E64" s="105" t="s">
        <v>290</v>
      </c>
      <c r="F64" s="10" t="s">
        <v>291</v>
      </c>
      <c r="G64" s="7" t="s">
        <v>200</v>
      </c>
      <c r="H64" s="7" t="s">
        <v>201</v>
      </c>
      <c r="I64" s="37" t="str">
        <f>INDEX(학술지정보!$C$9:$O$50,MATCH($H64,학술지정보!$C$9:$C$50,0),2)</f>
        <v>비SCI</v>
      </c>
      <c r="J64" s="37" t="str">
        <f t="array" ref="J64">INDEX(학술지정보!$C$9:$O$50,MATCH($H64,학술지정보!$C$9:$C$50,0),3)</f>
        <v>1598-0820</v>
      </c>
      <c r="K64" s="37" t="str">
        <f t="array" ref="K64">IF(INDEX(학술지정보!$C$9:$O$50,MATCH($H64,학술지정보!$C$9:$C$50,0),5)=0,"",INDEX(학술지정보!$C$9:$O$50,MATCH($H64,학술지정보!$C$9:$C$50,0),5))</f>
        <v/>
      </c>
      <c r="L64" s="43" t="s">
        <v>292</v>
      </c>
      <c r="M64" s="7" t="s">
        <v>242</v>
      </c>
      <c r="N64" s="7">
        <v>18</v>
      </c>
      <c r="O64" s="7">
        <v>8</v>
      </c>
      <c r="P64" s="7"/>
      <c r="Q64" s="7" t="s">
        <v>293</v>
      </c>
      <c r="R64" s="7">
        <v>201708</v>
      </c>
      <c r="S64" s="7" t="s">
        <v>268</v>
      </c>
      <c r="T64" s="7" t="s">
        <v>12</v>
      </c>
      <c r="U64" s="7" t="s">
        <v>279</v>
      </c>
      <c r="V64" s="7" t="s">
        <v>294</v>
      </c>
      <c r="W64" s="7" t="s">
        <v>295</v>
      </c>
      <c r="X64" s="7"/>
      <c r="Y64" s="7"/>
      <c r="Z64" s="7"/>
      <c r="AA64" s="7"/>
      <c r="AB64" s="44">
        <f t="shared" si="0"/>
        <v>5</v>
      </c>
    </row>
    <row r="65" spans="2:28" ht="17.399999999999999">
      <c r="B65" s="34">
        <f t="shared" si="1"/>
        <v>56</v>
      </c>
      <c r="C65" s="42">
        <v>2017</v>
      </c>
      <c r="D65" s="7">
        <v>4</v>
      </c>
      <c r="E65" s="100"/>
      <c r="F65" s="10" t="s">
        <v>634</v>
      </c>
      <c r="G65" s="7" t="s">
        <v>200</v>
      </c>
      <c r="H65" s="7" t="s">
        <v>201</v>
      </c>
      <c r="I65" s="37" t="str">
        <f>INDEX(학술지정보!$C$9:$O$50,MATCH($H65,학술지정보!$C$9:$C$50,0),2)</f>
        <v>비SCI</v>
      </c>
      <c r="J65" s="37" t="str">
        <f t="array" ref="J65">INDEX(학술지정보!$C$9:$O$50,MATCH($H65,학술지정보!$C$9:$C$50,0),3)</f>
        <v>1598-0820</v>
      </c>
      <c r="K65" s="37" t="str">
        <f t="array" ref="K65">IF(INDEX(학술지정보!$C$9:$O$50,MATCH($H65,학술지정보!$C$9:$C$50,0),5)=0,"",INDEX(학술지정보!$C$9:$O$50,MATCH($H65,학술지정보!$C$9:$C$50,0),5))</f>
        <v/>
      </c>
      <c r="L65" s="43" t="s">
        <v>296</v>
      </c>
      <c r="M65" s="7" t="s">
        <v>242</v>
      </c>
      <c r="N65" s="7">
        <v>18</v>
      </c>
      <c r="O65" s="7">
        <v>11</v>
      </c>
      <c r="P65" s="7"/>
      <c r="Q65" s="7" t="s">
        <v>297</v>
      </c>
      <c r="R65" s="7">
        <v>201711</v>
      </c>
      <c r="S65" s="7" t="s">
        <v>298</v>
      </c>
      <c r="T65" s="7" t="s">
        <v>12</v>
      </c>
      <c r="U65" s="7" t="s">
        <v>256</v>
      </c>
      <c r="V65" s="7" t="s">
        <v>295</v>
      </c>
      <c r="W65" s="7" t="s">
        <v>299</v>
      </c>
      <c r="X65" s="7"/>
      <c r="Y65" s="7"/>
      <c r="Z65" s="7"/>
      <c r="AA65" s="7"/>
      <c r="AB65" s="44">
        <f t="shared" si="0"/>
        <v>5</v>
      </c>
    </row>
    <row r="66" spans="2:28" ht="17.399999999999999">
      <c r="B66" s="34">
        <f t="shared" si="1"/>
        <v>57</v>
      </c>
      <c r="C66" s="42">
        <v>2017</v>
      </c>
      <c r="D66" s="7">
        <v>5</v>
      </c>
      <c r="E66" s="100" t="s">
        <v>635</v>
      </c>
      <c r="F66" s="10" t="s">
        <v>630</v>
      </c>
      <c r="G66" s="7" t="s">
        <v>193</v>
      </c>
      <c r="H66" s="7" t="s">
        <v>194</v>
      </c>
      <c r="I66" s="37" t="str">
        <f>INDEX(학술지정보!$C$9:$O$50,MATCH($H66,학술지정보!$C$9:$C$50,0),2)</f>
        <v>비SCI</v>
      </c>
      <c r="J66" s="37" t="str">
        <f t="array" ref="J66">INDEX(학술지정보!$C$9:$O$50,MATCH($H66,학술지정보!$C$9:$C$50,0),3)</f>
        <v>2233-8292</v>
      </c>
      <c r="K66" s="37" t="str">
        <f t="array" ref="K66">IF(INDEX(학술지정보!$C$9:$O$50,MATCH($H66,학술지정보!$C$9:$C$50,0),5)=0,"",INDEX(학술지정보!$C$9:$O$50,MATCH($H66,학술지정보!$C$9:$C$50,0),5))</f>
        <v>2287-4747</v>
      </c>
      <c r="L66" s="43" t="s">
        <v>300</v>
      </c>
      <c r="M66" s="7" t="s">
        <v>242</v>
      </c>
      <c r="N66" s="7">
        <v>19</v>
      </c>
      <c r="O66" s="7">
        <v>6</v>
      </c>
      <c r="P66" s="7"/>
      <c r="Q66" s="7" t="s">
        <v>301</v>
      </c>
      <c r="R66" s="7">
        <v>201711</v>
      </c>
      <c r="S66" s="7" t="s">
        <v>246</v>
      </c>
      <c r="T66" s="7" t="s">
        <v>12</v>
      </c>
      <c r="U66" s="7" t="s">
        <v>274</v>
      </c>
      <c r="V66" s="7" t="s">
        <v>295</v>
      </c>
      <c r="W66" s="7"/>
      <c r="X66" s="7"/>
      <c r="Y66" s="7"/>
      <c r="Z66" s="7"/>
      <c r="AA66" s="7"/>
      <c r="AB66" s="44">
        <f t="shared" si="0"/>
        <v>4</v>
      </c>
    </row>
    <row r="67" spans="2:28" ht="17.399999999999999">
      <c r="B67" s="34">
        <f t="shared" si="1"/>
        <v>58</v>
      </c>
      <c r="C67" s="42">
        <v>2018</v>
      </c>
      <c r="D67" s="7">
        <v>1</v>
      </c>
      <c r="E67" s="105" t="s">
        <v>302</v>
      </c>
      <c r="F67" s="10" t="s">
        <v>303</v>
      </c>
      <c r="G67" s="7" t="s">
        <v>200</v>
      </c>
      <c r="H67" s="7" t="s">
        <v>201</v>
      </c>
      <c r="I67" s="37" t="str">
        <f>INDEX(학술지정보!$C$9:$O$50,MATCH($H67,학술지정보!$C$9:$C$50,0),2)</f>
        <v>비SCI</v>
      </c>
      <c r="J67" s="37" t="str">
        <f t="array" ref="J67">INDEX(학술지정보!$C$9:$O$50,MATCH($H67,학술지정보!$C$9:$C$50,0),3)</f>
        <v>1598-0820</v>
      </c>
      <c r="K67" s="37" t="str">
        <f t="array" ref="K67">IF(INDEX(학술지정보!$C$9:$O$50,MATCH($H67,학술지정보!$C$9:$C$50,0),5)=0,"",INDEX(학술지정보!$C$9:$O$50,MATCH($H67,학술지정보!$C$9:$C$50,0),5))</f>
        <v/>
      </c>
      <c r="L67" s="43" t="s">
        <v>304</v>
      </c>
      <c r="M67" s="7" t="s">
        <v>242</v>
      </c>
      <c r="N67" s="7">
        <v>19</v>
      </c>
      <c r="O67" s="7">
        <v>11</v>
      </c>
      <c r="P67" s="7"/>
      <c r="Q67" s="7" t="s">
        <v>287</v>
      </c>
      <c r="R67" s="7">
        <v>201811</v>
      </c>
      <c r="S67" s="7" t="s">
        <v>298</v>
      </c>
      <c r="T67" s="7" t="s">
        <v>12</v>
      </c>
      <c r="U67" s="7" t="s">
        <v>295</v>
      </c>
      <c r="V67" s="7" t="s">
        <v>299</v>
      </c>
      <c r="W67" s="7"/>
      <c r="X67" s="7"/>
      <c r="Y67" s="7"/>
      <c r="Z67" s="7"/>
      <c r="AA67" s="7"/>
      <c r="AB67" s="44">
        <f t="shared" si="0"/>
        <v>4</v>
      </c>
    </row>
    <row r="68" spans="2:28" ht="17.399999999999999">
      <c r="B68" s="34">
        <f t="shared" si="1"/>
        <v>59</v>
      </c>
      <c r="C68" s="42">
        <v>2018</v>
      </c>
      <c r="D68" s="7">
        <v>2</v>
      </c>
      <c r="E68" s="105" t="s">
        <v>305</v>
      </c>
      <c r="F68" s="10" t="s">
        <v>306</v>
      </c>
      <c r="G68" s="7" t="s">
        <v>187</v>
      </c>
      <c r="H68" s="7" t="s">
        <v>188</v>
      </c>
      <c r="I68" s="37" t="str">
        <f>INDEX(학술지정보!$C$9:$O$50,MATCH($H68,학술지정보!$C$9:$C$50,0),2)</f>
        <v>비SCI</v>
      </c>
      <c r="J68" s="37" t="str">
        <f t="array" ref="J68">INDEX(학술지정보!$C$9:$O$50,MATCH($H68,학술지정보!$C$9:$C$50,0),3)</f>
        <v>1229-2427</v>
      </c>
      <c r="K68" s="37" t="str">
        <f t="array" ref="K68">IF(INDEX(학술지정보!$C$9:$O$50,MATCH($H68,학술지정보!$C$9:$C$50,0),5)=0,"",INDEX(학술지정보!$C$9:$O$50,MATCH($H68,학술지정보!$C$9:$C$50,0),5))</f>
        <v>2288-646X</v>
      </c>
      <c r="L68" s="43" t="s">
        <v>307</v>
      </c>
      <c r="M68" s="7" t="s">
        <v>242</v>
      </c>
      <c r="N68" s="7">
        <v>34</v>
      </c>
      <c r="O68" s="7">
        <v>11</v>
      </c>
      <c r="P68" s="7"/>
      <c r="Q68" s="7" t="s">
        <v>308</v>
      </c>
      <c r="R68" s="7">
        <v>201811</v>
      </c>
      <c r="S68" s="7" t="s">
        <v>12</v>
      </c>
      <c r="T68" s="7" t="s">
        <v>309</v>
      </c>
      <c r="U68" s="7" t="s">
        <v>266</v>
      </c>
      <c r="V68" s="7" t="s">
        <v>310</v>
      </c>
      <c r="W68" s="7"/>
      <c r="X68" s="7"/>
      <c r="Y68" s="7"/>
      <c r="Z68" s="7"/>
      <c r="AA68" s="7"/>
      <c r="AB68" s="44">
        <f t="shared" si="0"/>
        <v>4</v>
      </c>
    </row>
    <row r="69" spans="2:28" ht="34.799999999999997">
      <c r="B69" s="34">
        <f t="shared" si="1"/>
        <v>60</v>
      </c>
      <c r="C69" s="42">
        <v>2018</v>
      </c>
      <c r="D69" s="7">
        <v>3</v>
      </c>
      <c r="E69" s="105" t="s">
        <v>311</v>
      </c>
      <c r="F69" s="10" t="s">
        <v>312</v>
      </c>
      <c r="G69" s="7" t="s">
        <v>313</v>
      </c>
      <c r="H69" s="7" t="s">
        <v>314</v>
      </c>
      <c r="I69" s="37" t="e">
        <f>INDEX(학술지정보!$C$9:$O$50,MATCH($H69,학술지정보!$C$9:$C$50,0),2)</f>
        <v>#N/A</v>
      </c>
      <c r="J69" s="37" t="e">
        <f t="array" ref="J69">INDEX(학술지정보!$C$9:$O$50,MATCH($H69,학술지정보!$C$9:$C$50,0),3)</f>
        <v>#N/A</v>
      </c>
      <c r="K69" s="37" t="e">
        <f t="array" ref="K69">IF(INDEX(학술지정보!$C$9:$O$50,MATCH($H69,학술지정보!$C$9:$C$50,0),5)=0,"",INDEX(학술지정보!$C$9:$O$50,MATCH($H69,학술지정보!$C$9:$C$50,0),5))</f>
        <v>#N/A</v>
      </c>
      <c r="L69" s="43" t="s">
        <v>315</v>
      </c>
      <c r="M69" s="7" t="s">
        <v>242</v>
      </c>
      <c r="N69" s="7">
        <v>17</v>
      </c>
      <c r="O69" s="7">
        <v>4</v>
      </c>
      <c r="P69" s="7"/>
      <c r="Q69" s="7" t="s">
        <v>316</v>
      </c>
      <c r="R69" s="7">
        <v>201812</v>
      </c>
      <c r="S69" s="7" t="s">
        <v>317</v>
      </c>
      <c r="T69" s="7" t="s">
        <v>12</v>
      </c>
      <c r="U69" s="7" t="s">
        <v>295</v>
      </c>
      <c r="V69" s="7" t="s">
        <v>318</v>
      </c>
      <c r="W69" s="7"/>
      <c r="X69" s="7"/>
      <c r="Y69" s="7"/>
      <c r="Z69" s="7"/>
      <c r="AA69" s="7"/>
      <c r="AB69" s="44">
        <f t="shared" si="0"/>
        <v>4</v>
      </c>
    </row>
    <row r="70" spans="2:28" ht="17.399999999999999">
      <c r="B70" s="34">
        <f t="shared" si="1"/>
        <v>61</v>
      </c>
      <c r="C70" s="42">
        <v>2018</v>
      </c>
      <c r="D70" s="7">
        <v>4</v>
      </c>
      <c r="E70" s="105" t="s">
        <v>319</v>
      </c>
      <c r="F70" s="10" t="s">
        <v>320</v>
      </c>
      <c r="G70" s="7" t="s">
        <v>313</v>
      </c>
      <c r="H70" s="7" t="s">
        <v>314</v>
      </c>
      <c r="I70" s="37" t="e">
        <f>INDEX(학술지정보!$C$9:$O$50,MATCH($H70,학술지정보!$C$9:$C$50,0),2)</f>
        <v>#N/A</v>
      </c>
      <c r="J70" s="37" t="e">
        <f t="array" ref="J70">INDEX(학술지정보!$C$9:$O$50,MATCH($H70,학술지정보!$C$9:$C$50,0),3)</f>
        <v>#N/A</v>
      </c>
      <c r="K70" s="37" t="e">
        <f t="array" ref="K70">IF(INDEX(학술지정보!$C$9:$O$50,MATCH($H70,학술지정보!$C$9:$C$50,0),5)=0,"",INDEX(학술지정보!$C$9:$O$50,MATCH($H70,학술지정보!$C$9:$C$50,0),5))</f>
        <v>#N/A</v>
      </c>
      <c r="L70" s="43" t="s">
        <v>321</v>
      </c>
      <c r="M70" s="7" t="s">
        <v>242</v>
      </c>
      <c r="N70" s="7">
        <v>17</v>
      </c>
      <c r="O70" s="7">
        <v>4</v>
      </c>
      <c r="P70" s="7"/>
      <c r="Q70" s="7" t="s">
        <v>322</v>
      </c>
      <c r="R70" s="7">
        <v>201812</v>
      </c>
      <c r="S70" s="7" t="s">
        <v>317</v>
      </c>
      <c r="T70" s="7" t="s">
        <v>12</v>
      </c>
      <c r="U70" s="7" t="s">
        <v>295</v>
      </c>
      <c r="V70" s="7" t="s">
        <v>318</v>
      </c>
      <c r="W70" s="7"/>
      <c r="X70" s="7"/>
      <c r="Y70" s="7"/>
      <c r="Z70" s="7"/>
      <c r="AA70" s="7"/>
      <c r="AB70" s="44">
        <f t="shared" si="0"/>
        <v>4</v>
      </c>
    </row>
    <row r="71" spans="2:28" ht="34.799999999999997">
      <c r="B71" s="34">
        <f t="shared" si="1"/>
        <v>62</v>
      </c>
      <c r="C71" s="45">
        <v>2019</v>
      </c>
      <c r="D71" s="46">
        <v>1</v>
      </c>
      <c r="E71" s="106" t="s">
        <v>323</v>
      </c>
      <c r="F71" s="47" t="s">
        <v>324</v>
      </c>
      <c r="G71" s="7" t="s">
        <v>187</v>
      </c>
      <c r="H71" s="7" t="s">
        <v>188</v>
      </c>
      <c r="I71" s="37" t="str">
        <f>INDEX(학술지정보!$C$9:$O$50,MATCH($H71,학술지정보!$C$9:$C$50,0),2)</f>
        <v>비SCI</v>
      </c>
      <c r="J71" s="37" t="str">
        <f t="array" ref="J71">INDEX(학술지정보!$C$9:$O$50,MATCH($H71,학술지정보!$C$9:$C$50,0),3)</f>
        <v>1229-2427</v>
      </c>
      <c r="K71" s="37" t="str">
        <f t="array" ref="K71">IF(INDEX(학술지정보!$C$9:$O$50,MATCH($H71,학술지정보!$C$9:$C$50,0),5)=0,"",INDEX(학술지정보!$C$9:$O$50,MATCH($H71,학술지정보!$C$9:$C$50,0),5))</f>
        <v>2288-646X</v>
      </c>
      <c r="L71" s="48" t="s">
        <v>325</v>
      </c>
      <c r="M71" s="7" t="s">
        <v>242</v>
      </c>
      <c r="N71" s="46">
        <v>35</v>
      </c>
      <c r="O71" s="46">
        <v>4</v>
      </c>
      <c r="P71" s="46"/>
      <c r="Q71" s="46" t="s">
        <v>326</v>
      </c>
      <c r="R71" s="46">
        <v>201904</v>
      </c>
      <c r="S71" s="46" t="s">
        <v>327</v>
      </c>
      <c r="T71" s="46" t="s">
        <v>328</v>
      </c>
      <c r="U71" s="46" t="s">
        <v>246</v>
      </c>
      <c r="V71" s="46" t="s">
        <v>12</v>
      </c>
      <c r="W71" s="46"/>
      <c r="X71" s="46"/>
      <c r="Y71" s="46"/>
      <c r="Z71" s="46"/>
      <c r="AA71" s="46"/>
      <c r="AB71" s="44">
        <f t="shared" si="0"/>
        <v>4</v>
      </c>
    </row>
    <row r="72" spans="2:28" ht="17.399999999999999">
      <c r="B72" s="34">
        <f t="shared" si="1"/>
        <v>63</v>
      </c>
      <c r="C72" s="45">
        <v>2019</v>
      </c>
      <c r="D72" s="46">
        <v>2</v>
      </c>
      <c r="E72" s="106" t="s">
        <v>329</v>
      </c>
      <c r="F72" s="47" t="s">
        <v>330</v>
      </c>
      <c r="G72" s="7" t="s">
        <v>200</v>
      </c>
      <c r="H72" s="7" t="s">
        <v>201</v>
      </c>
      <c r="I72" s="37" t="str">
        <f>INDEX(학술지정보!$C$9:$O$50,MATCH($H72,학술지정보!$C$9:$C$50,0),2)</f>
        <v>비SCI</v>
      </c>
      <c r="J72" s="37" t="str">
        <f t="array" ref="J72">INDEX(학술지정보!$C$9:$O$50,MATCH($H72,학술지정보!$C$9:$C$50,0),3)</f>
        <v>1598-0820</v>
      </c>
      <c r="K72" s="37" t="str">
        <f t="array" ref="K72">IF(INDEX(학술지정보!$C$9:$O$50,MATCH($H72,학술지정보!$C$9:$C$50,0),5)=0,"",INDEX(학술지정보!$C$9:$O$50,MATCH($H72,학술지정보!$C$9:$C$50,0),5))</f>
        <v/>
      </c>
      <c r="L72" s="48" t="s">
        <v>331</v>
      </c>
      <c r="M72" s="7" t="s">
        <v>242</v>
      </c>
      <c r="N72" s="46">
        <v>20</v>
      </c>
      <c r="O72" s="46">
        <v>7</v>
      </c>
      <c r="P72" s="46"/>
      <c r="Q72" s="46" t="s">
        <v>332</v>
      </c>
      <c r="R72" s="46">
        <v>201907</v>
      </c>
      <c r="S72" s="46" t="s">
        <v>12</v>
      </c>
      <c r="T72" s="46" t="s">
        <v>317</v>
      </c>
      <c r="U72" s="46" t="s">
        <v>253</v>
      </c>
      <c r="V72" s="46" t="s">
        <v>333</v>
      </c>
      <c r="W72" s="46" t="s">
        <v>334</v>
      </c>
      <c r="X72" s="46"/>
      <c r="Y72" s="46"/>
      <c r="Z72" s="46"/>
      <c r="AA72" s="46"/>
      <c r="AB72" s="44">
        <f t="shared" si="0"/>
        <v>5</v>
      </c>
    </row>
    <row r="73" spans="2:28" ht="17.399999999999999">
      <c r="B73" s="34">
        <f t="shared" si="1"/>
        <v>64</v>
      </c>
      <c r="C73" s="45">
        <v>2019</v>
      </c>
      <c r="D73" s="46">
        <v>3</v>
      </c>
      <c r="E73" s="106"/>
      <c r="F73" s="47" t="s">
        <v>579</v>
      </c>
      <c r="G73" s="7" t="s">
        <v>200</v>
      </c>
      <c r="H73" s="7" t="s">
        <v>201</v>
      </c>
      <c r="I73" s="37" t="str">
        <f>INDEX(학술지정보!$C$9:$O$50,MATCH($H73,학술지정보!$C$9:$C$50,0),2)</f>
        <v>비SCI</v>
      </c>
      <c r="J73" s="37" t="str">
        <f t="array" ref="J73">INDEX(학술지정보!$C$9:$O$50,MATCH($H73,학술지정보!$C$9:$C$50,0),3)</f>
        <v>1598-0820</v>
      </c>
      <c r="K73" s="37" t="str">
        <f t="array" ref="K73">IF(INDEX(학술지정보!$C$9:$O$50,MATCH($H73,학술지정보!$C$9:$C$50,0),5)=0,"",INDEX(학술지정보!$C$9:$O$50,MATCH($H73,학술지정보!$C$9:$C$50,0),5))</f>
        <v/>
      </c>
      <c r="L73" s="48" t="s">
        <v>335</v>
      </c>
      <c r="M73" s="7" t="s">
        <v>242</v>
      </c>
      <c r="N73" s="46">
        <v>20</v>
      </c>
      <c r="O73" s="46">
        <v>9</v>
      </c>
      <c r="P73" s="46"/>
      <c r="Q73" s="46" t="s">
        <v>336</v>
      </c>
      <c r="R73" s="46">
        <v>201909</v>
      </c>
      <c r="S73" s="46" t="s">
        <v>298</v>
      </c>
      <c r="T73" s="46" t="s">
        <v>12</v>
      </c>
      <c r="U73" s="46"/>
      <c r="V73" s="46"/>
      <c r="W73" s="46"/>
      <c r="X73" s="46"/>
      <c r="Y73" s="46"/>
      <c r="Z73" s="46"/>
      <c r="AA73" s="46"/>
      <c r="AB73" s="44">
        <f t="shared" ref="AB73:AB77" si="2">COUNTA(S73:AA73)</f>
        <v>2</v>
      </c>
    </row>
    <row r="74" spans="2:28" ht="17.399999999999999">
      <c r="B74" s="34">
        <f t="shared" si="1"/>
        <v>65</v>
      </c>
      <c r="C74" s="45">
        <v>2020</v>
      </c>
      <c r="D74" s="46">
        <v>1</v>
      </c>
      <c r="E74" s="111" t="s">
        <v>610</v>
      </c>
      <c r="F74" s="47" t="s">
        <v>631</v>
      </c>
      <c r="G74" s="7" t="s">
        <v>187</v>
      </c>
      <c r="H74" s="7" t="s">
        <v>188</v>
      </c>
      <c r="I74" s="37" t="str">
        <f>INDEX(학술지정보!$C$9:$O$50,MATCH($H74,학술지정보!$C$9:$C$50,0),2)</f>
        <v>비SCI</v>
      </c>
      <c r="J74" s="37" t="str">
        <f t="array" ref="J74">INDEX(학술지정보!$C$9:$O$50,MATCH($H74,학술지정보!$C$9:$C$50,0),3)</f>
        <v>1229-2427</v>
      </c>
      <c r="K74" s="37" t="str">
        <f t="array" ref="K74">IF(INDEX(학술지정보!$C$9:$O$50,MATCH($H74,학술지정보!$C$9:$C$50,0),5)=0,"",INDEX(학술지정보!$C$9:$O$50,MATCH($H74,학술지정보!$C$9:$C$50,0),5))</f>
        <v>2288-646X</v>
      </c>
      <c r="L74" s="48" t="s">
        <v>337</v>
      </c>
      <c r="M74" s="7" t="s">
        <v>242</v>
      </c>
      <c r="N74" s="46">
        <v>36</v>
      </c>
      <c r="O74" s="46">
        <v>10</v>
      </c>
      <c r="P74" s="46"/>
      <c r="Q74" s="46" t="s">
        <v>338</v>
      </c>
      <c r="R74" s="46">
        <v>202010</v>
      </c>
      <c r="S74" s="46" t="s">
        <v>339</v>
      </c>
      <c r="T74" s="46" t="s">
        <v>340</v>
      </c>
      <c r="U74" s="46" t="s">
        <v>341</v>
      </c>
      <c r="V74" s="46" t="s">
        <v>12</v>
      </c>
      <c r="W74" s="46" t="s">
        <v>342</v>
      </c>
      <c r="X74" s="46" t="s">
        <v>343</v>
      </c>
      <c r="Y74" s="46" t="s">
        <v>344</v>
      </c>
      <c r="Z74" s="46"/>
      <c r="AA74" s="46"/>
      <c r="AB74" s="49">
        <f t="shared" si="2"/>
        <v>7</v>
      </c>
    </row>
    <row r="75" spans="2:28" ht="34.799999999999997">
      <c r="B75" s="34">
        <f t="shared" si="1"/>
        <v>66</v>
      </c>
      <c r="C75" s="45">
        <v>2020</v>
      </c>
      <c r="D75" s="46">
        <v>2</v>
      </c>
      <c r="E75" s="111" t="s">
        <v>636</v>
      </c>
      <c r="F75" s="47" t="s">
        <v>632</v>
      </c>
      <c r="G75" s="7" t="s">
        <v>200</v>
      </c>
      <c r="H75" s="7" t="s">
        <v>201</v>
      </c>
      <c r="I75" s="37" t="str">
        <f>INDEX(학술지정보!$C$9:$O$50,MATCH($H75,학술지정보!$C$9:$C$50,0),2)</f>
        <v>비SCI</v>
      </c>
      <c r="J75" s="37" t="str">
        <f t="array" ref="J75">INDEX(학술지정보!$C$9:$O$50,MATCH($H75,학술지정보!$C$9:$C$50,0),3)</f>
        <v>1598-0820</v>
      </c>
      <c r="K75" s="37" t="str">
        <f t="array" ref="K75">IF(INDEX(학술지정보!$C$9:$O$50,MATCH($H75,학술지정보!$C$9:$C$50,0),5)=0,"",INDEX(학술지정보!$C$9:$O$50,MATCH($H75,학술지정보!$C$9:$C$50,0),5))</f>
        <v/>
      </c>
      <c r="L75" s="48" t="s">
        <v>345</v>
      </c>
      <c r="M75" s="7" t="s">
        <v>242</v>
      </c>
      <c r="N75" s="46">
        <v>21</v>
      </c>
      <c r="O75" s="46">
        <v>12</v>
      </c>
      <c r="P75" s="46"/>
      <c r="Q75" s="46" t="s">
        <v>346</v>
      </c>
      <c r="R75" s="46">
        <v>202012</v>
      </c>
      <c r="S75" s="46" t="s">
        <v>347</v>
      </c>
      <c r="T75" s="46" t="s">
        <v>244</v>
      </c>
      <c r="U75" s="46" t="s">
        <v>348</v>
      </c>
      <c r="V75" s="46" t="s">
        <v>12</v>
      </c>
      <c r="W75" s="46"/>
      <c r="X75" s="46"/>
      <c r="Y75" s="46"/>
      <c r="Z75" s="46"/>
      <c r="AA75" s="46"/>
      <c r="AB75" s="49">
        <f t="shared" si="2"/>
        <v>4</v>
      </c>
    </row>
    <row r="76" spans="2:28" ht="34.799999999999997">
      <c r="B76" s="34">
        <f t="shared" ref="B76:B89" si="3">B75+1</f>
        <v>67</v>
      </c>
      <c r="C76" s="45">
        <v>2020</v>
      </c>
      <c r="D76" s="46">
        <v>3</v>
      </c>
      <c r="E76" s="111" t="s">
        <v>637</v>
      </c>
      <c r="F76" s="47" t="s">
        <v>633</v>
      </c>
      <c r="G76" s="7" t="s">
        <v>187</v>
      </c>
      <c r="H76" s="7" t="s">
        <v>188</v>
      </c>
      <c r="I76" s="37" t="str">
        <f>INDEX(학술지정보!$C$9:$O$50,MATCH($H76,학술지정보!$C$9:$C$50,0),2)</f>
        <v>비SCI</v>
      </c>
      <c r="J76" s="37" t="str">
        <f t="array" ref="J76">INDEX(학술지정보!$C$9:$O$50,MATCH($H76,학술지정보!$C$9:$C$50,0),3)</f>
        <v>1229-2427</v>
      </c>
      <c r="K76" s="37" t="str">
        <f t="array" ref="K76">IF(INDEX(학술지정보!$C$9:$O$50,MATCH($H76,학술지정보!$C$9:$C$50,0),5)=0,"",INDEX(학술지정보!$C$9:$O$50,MATCH($H76,학술지정보!$C$9:$C$50,0),5))</f>
        <v>2288-646X</v>
      </c>
      <c r="L76" s="48" t="s">
        <v>349</v>
      </c>
      <c r="M76" s="7" t="s">
        <v>242</v>
      </c>
      <c r="N76" s="46">
        <v>36</v>
      </c>
      <c r="O76" s="46">
        <v>12</v>
      </c>
      <c r="P76" s="46"/>
      <c r="Q76" s="46" t="s">
        <v>350</v>
      </c>
      <c r="R76" s="46">
        <v>202012</v>
      </c>
      <c r="S76" s="46" t="s">
        <v>351</v>
      </c>
      <c r="T76" s="46" t="s">
        <v>12</v>
      </c>
      <c r="U76" s="46" t="s">
        <v>267</v>
      </c>
      <c r="V76" s="46" t="s">
        <v>352</v>
      </c>
      <c r="W76" s="46" t="s">
        <v>353</v>
      </c>
      <c r="X76" s="46"/>
      <c r="Y76" s="46"/>
      <c r="Z76" s="46"/>
      <c r="AA76" s="46"/>
      <c r="AB76" s="49">
        <f t="shared" si="2"/>
        <v>5</v>
      </c>
    </row>
    <row r="77" spans="2:28" ht="17.399999999999999">
      <c r="B77" s="34">
        <f t="shared" si="3"/>
        <v>68</v>
      </c>
      <c r="C77" s="45">
        <v>2021</v>
      </c>
      <c r="D77" s="46">
        <v>1</v>
      </c>
      <c r="E77" s="111"/>
      <c r="F77" s="47" t="s">
        <v>577</v>
      </c>
      <c r="G77" s="7" t="s">
        <v>200</v>
      </c>
      <c r="H77" s="7" t="s">
        <v>201</v>
      </c>
      <c r="I77" s="37" t="str">
        <f>INDEX(학술지정보!$C$9:$O$50,MATCH($H77,학술지정보!$C$9:$C$50,0),2)</f>
        <v>비SCI</v>
      </c>
      <c r="J77" s="37" t="str">
        <f t="array" ref="J77">INDEX(학술지정보!$C$9:$O$50,MATCH($H77,학술지정보!$C$9:$C$50,0),3)</f>
        <v>1598-0820</v>
      </c>
      <c r="K77" s="37" t="str">
        <f t="array" ref="K77">IF(INDEX(학술지정보!$C$9:$O$50,MATCH($H77,학술지정보!$C$9:$C$50,0),5)=0,"",INDEX(학술지정보!$C$9:$O$50,MATCH($H77,학술지정보!$C$9:$C$50,0),5))</f>
        <v/>
      </c>
      <c r="L77" s="48" t="s">
        <v>354</v>
      </c>
      <c r="M77" s="7" t="s">
        <v>242</v>
      </c>
      <c r="N77" s="46">
        <v>22</v>
      </c>
      <c r="O77" s="46">
        <v>1</v>
      </c>
      <c r="P77" s="46"/>
      <c r="Q77" s="46" t="s">
        <v>355</v>
      </c>
      <c r="R77" s="46">
        <v>202101</v>
      </c>
      <c r="S77" s="46" t="s">
        <v>356</v>
      </c>
      <c r="T77" s="46" t="s">
        <v>353</v>
      </c>
      <c r="U77" s="46" t="s">
        <v>12</v>
      </c>
      <c r="V77" s="46"/>
      <c r="W77" s="46"/>
      <c r="X77" s="46"/>
      <c r="Y77" s="46"/>
      <c r="Z77" s="46"/>
      <c r="AA77" s="46"/>
      <c r="AB77" s="49">
        <f t="shared" si="2"/>
        <v>3</v>
      </c>
    </row>
    <row r="78" spans="2:28" ht="17.399999999999999">
      <c r="B78" s="34">
        <f t="shared" si="3"/>
        <v>69</v>
      </c>
      <c r="C78" s="45">
        <v>2021</v>
      </c>
      <c r="D78" s="46">
        <v>2</v>
      </c>
      <c r="E78" s="112" t="s">
        <v>611</v>
      </c>
      <c r="F78" s="46" t="s">
        <v>365</v>
      </c>
      <c r="G78" s="46" t="s">
        <v>200</v>
      </c>
      <c r="H78" s="46" t="s">
        <v>201</v>
      </c>
      <c r="I78" s="37" t="str">
        <f>INDEX(학술지정보!$C$9:$O$50,MATCH($H78,학술지정보!$C$9:$C$50,0),2)</f>
        <v>비SCI</v>
      </c>
      <c r="J78" s="37" t="str">
        <f t="array" ref="J78">INDEX(학술지정보!$C$9:$O$50,MATCH($H78,학술지정보!$C$9:$C$50,0),3)</f>
        <v>1598-0820</v>
      </c>
      <c r="K78" s="37" t="str">
        <f t="array" ref="K78">IF(INDEX(학술지정보!$C$9:$O$50,MATCH($H78,학술지정보!$C$9:$C$50,0),5)=0,"",INDEX(학술지정보!$C$9:$O$50,MATCH($H78,학술지정보!$C$9:$C$50,0),5))</f>
        <v/>
      </c>
      <c r="L78" s="48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9"/>
    </row>
    <row r="79" spans="2:28" ht="17.399999999999999">
      <c r="B79" s="34">
        <f t="shared" si="3"/>
        <v>70</v>
      </c>
      <c r="C79" s="45">
        <v>2021</v>
      </c>
      <c r="D79" s="46">
        <v>3</v>
      </c>
      <c r="E79" s="111" t="s">
        <v>612</v>
      </c>
      <c r="F79" s="47" t="s">
        <v>366</v>
      </c>
      <c r="G79" s="7" t="s">
        <v>187</v>
      </c>
      <c r="H79" s="7" t="s">
        <v>188</v>
      </c>
      <c r="I79" s="37" t="str">
        <f>INDEX(학술지정보!$C$9:$O$50,MATCH($H79,학술지정보!$C$9:$C$50,0),2)</f>
        <v>비SCI</v>
      </c>
      <c r="J79" s="37" t="str">
        <f t="array" ref="J79">INDEX(학술지정보!$C$9:$O$50,MATCH($H79,학술지정보!$C$9:$C$50,0),3)</f>
        <v>1229-2427</v>
      </c>
      <c r="K79" s="37" t="str">
        <f t="array" ref="K79">IF(INDEX(학술지정보!$C$9:$O$50,MATCH($H79,학술지정보!$C$9:$C$50,0),5)=0,"",INDEX(학술지정보!$C$9:$O$50,MATCH($H79,학술지정보!$C$9:$C$50,0),5))</f>
        <v>2288-646X</v>
      </c>
      <c r="L79" s="48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9"/>
    </row>
    <row r="80" spans="2:28" ht="17.399999999999999">
      <c r="B80" s="34">
        <f t="shared" si="3"/>
        <v>71</v>
      </c>
      <c r="C80" s="45">
        <v>2021</v>
      </c>
      <c r="D80" s="46">
        <v>4</v>
      </c>
      <c r="E80" s="112" t="s">
        <v>613</v>
      </c>
      <c r="F80" s="46" t="s">
        <v>367</v>
      </c>
      <c r="G80" s="46" t="s">
        <v>368</v>
      </c>
      <c r="H80" s="46" t="s">
        <v>13</v>
      </c>
      <c r="I80" s="37" t="str">
        <f>INDEX(학술지정보!$C$9:$O$50,MATCH($H80,학술지정보!$C$9:$C$50,0),2)</f>
        <v>SCI(E)</v>
      </c>
      <c r="J80" s="37" t="str">
        <f t="array" ref="J80">INDEX(학술지정보!$C$9:$O$50,MATCH($H80,학술지정보!$C$9:$C$50,0),3)</f>
        <v>1226-7988</v>
      </c>
      <c r="K80" s="37" t="str">
        <f t="array" ref="K80">IF(INDEX(학술지정보!$C$9:$O$50,MATCH($H80,학술지정보!$C$9:$C$50,0),5)=0,"",INDEX(학술지정보!$C$9:$O$50,MATCH($H80,학술지정보!$C$9:$C$50,0),5))</f>
        <v>1976-3808</v>
      </c>
      <c r="L80" s="48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9"/>
    </row>
    <row r="81" spans="2:28" ht="17.399999999999999">
      <c r="B81" s="34">
        <f t="shared" si="3"/>
        <v>72</v>
      </c>
      <c r="C81" s="45">
        <v>2021</v>
      </c>
      <c r="D81" s="46">
        <v>5</v>
      </c>
      <c r="E81" s="112" t="s">
        <v>614</v>
      </c>
      <c r="F81" s="46" t="s">
        <v>369</v>
      </c>
      <c r="G81" s="46" t="s">
        <v>187</v>
      </c>
      <c r="H81" s="46" t="s">
        <v>188</v>
      </c>
      <c r="I81" s="37" t="str">
        <f>INDEX(학술지정보!$C$9:$O$50,MATCH($H81,학술지정보!$C$9:$C$50,0),2)</f>
        <v>비SCI</v>
      </c>
      <c r="J81" s="37" t="str">
        <f t="array" ref="J81">INDEX(학술지정보!$C$9:$O$50,MATCH($H81,학술지정보!$C$9:$C$50,0),3)</f>
        <v>1229-2427</v>
      </c>
      <c r="K81" s="37" t="str">
        <f t="array" ref="K81">IF(INDEX(학술지정보!$C$9:$O$50,MATCH($H81,학술지정보!$C$9:$C$50,0),5)=0,"",INDEX(학술지정보!$C$9:$O$50,MATCH($H81,학술지정보!$C$9:$C$50,0),5))</f>
        <v>2288-646X</v>
      </c>
      <c r="L81" s="48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9"/>
    </row>
    <row r="82" spans="2:28" ht="17.399999999999999">
      <c r="B82" s="34">
        <f t="shared" si="3"/>
        <v>73</v>
      </c>
      <c r="C82" s="45">
        <v>2021</v>
      </c>
      <c r="D82" s="46">
        <v>6</v>
      </c>
      <c r="E82" s="112" t="s">
        <v>615</v>
      </c>
      <c r="F82" s="46" t="s">
        <v>370</v>
      </c>
      <c r="G82" s="46" t="s">
        <v>193</v>
      </c>
      <c r="H82" s="46" t="s">
        <v>194</v>
      </c>
      <c r="I82" s="37" t="str">
        <f>INDEX(학술지정보!$C$9:$O$50,MATCH($H82,학술지정보!$C$9:$C$50,0),2)</f>
        <v>비SCI</v>
      </c>
      <c r="J82" s="37" t="str">
        <f t="array" ref="J82">INDEX(학술지정보!$C$9:$O$50,MATCH($H82,학술지정보!$C$9:$C$50,0),3)</f>
        <v>2233-8292</v>
      </c>
      <c r="K82" s="37" t="str">
        <f t="array" ref="K82">IF(INDEX(학술지정보!$C$9:$O$50,MATCH($H82,학술지정보!$C$9:$C$50,0),5)=0,"",INDEX(학술지정보!$C$9:$O$50,MATCH($H82,학술지정보!$C$9:$C$50,0),5))</f>
        <v>2287-4747</v>
      </c>
      <c r="L82" s="48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9"/>
    </row>
    <row r="83" spans="2:28" ht="17.399999999999999">
      <c r="B83" s="34">
        <f t="shared" si="3"/>
        <v>74</v>
      </c>
      <c r="C83" s="45">
        <v>2021</v>
      </c>
      <c r="D83" s="46">
        <v>7</v>
      </c>
      <c r="E83" s="112" t="s">
        <v>616</v>
      </c>
      <c r="F83" s="46" t="s">
        <v>371</v>
      </c>
      <c r="G83" s="46" t="s">
        <v>193</v>
      </c>
      <c r="H83" s="46" t="s">
        <v>194</v>
      </c>
      <c r="I83" s="37" t="str">
        <f>INDEX(학술지정보!$C$9:$O$50,MATCH($H83,학술지정보!$C$9:$C$50,0),2)</f>
        <v>비SCI</v>
      </c>
      <c r="J83" s="37" t="str">
        <f t="array" ref="J83">INDEX(학술지정보!$C$9:$O$50,MATCH($H83,학술지정보!$C$9:$C$50,0),3)</f>
        <v>2233-8292</v>
      </c>
      <c r="K83" s="37" t="str">
        <f t="array" ref="K83">IF(INDEX(학술지정보!$C$9:$O$50,MATCH($H83,학술지정보!$C$9:$C$50,0),5)=0,"",INDEX(학술지정보!$C$9:$O$50,MATCH($H83,학술지정보!$C$9:$C$50,0),5))</f>
        <v>2287-4747</v>
      </c>
      <c r="L83" s="48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9"/>
    </row>
    <row r="84" spans="2:28" ht="17.399999999999999">
      <c r="B84" s="34">
        <f t="shared" si="3"/>
        <v>75</v>
      </c>
      <c r="C84" s="45">
        <v>2021</v>
      </c>
      <c r="D84" s="46">
        <v>8</v>
      </c>
      <c r="E84" s="112"/>
      <c r="F84" s="46" t="s">
        <v>372</v>
      </c>
      <c r="G84" s="46" t="s">
        <v>200</v>
      </c>
      <c r="H84" s="46" t="s">
        <v>201</v>
      </c>
      <c r="I84" s="37" t="str">
        <f>INDEX(학술지정보!$C$9:$O$50,MATCH($H84,학술지정보!$C$9:$C$50,0),2)</f>
        <v>비SCI</v>
      </c>
      <c r="J84" s="37" t="str">
        <f t="array" ref="J84">INDEX(학술지정보!$C$9:$O$50,MATCH($H84,학술지정보!$C$9:$C$50,0),3)</f>
        <v>1598-0820</v>
      </c>
      <c r="K84" s="37" t="str">
        <f t="array" ref="K84">IF(INDEX(학술지정보!$C$9:$O$50,MATCH($H84,학술지정보!$C$9:$C$50,0),5)=0,"",INDEX(학술지정보!$C$9:$O$50,MATCH($H84,학술지정보!$C$9:$C$50,0),5))</f>
        <v/>
      </c>
      <c r="L84" s="48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9"/>
    </row>
    <row r="85" spans="2:28" ht="17.399999999999999">
      <c r="B85" s="34">
        <f t="shared" si="3"/>
        <v>76</v>
      </c>
      <c r="C85" s="45">
        <v>2022</v>
      </c>
      <c r="D85" s="46">
        <v>1</v>
      </c>
      <c r="E85" s="107" t="s">
        <v>617</v>
      </c>
      <c r="F85" s="46" t="s">
        <v>37</v>
      </c>
      <c r="G85" s="46" t="s">
        <v>368</v>
      </c>
      <c r="H85" s="46" t="s">
        <v>13</v>
      </c>
      <c r="I85" s="37" t="str">
        <f>INDEX(학술지정보!$C$9:$O$50,MATCH($H85,학술지정보!$C$9:$C$50,0),2)</f>
        <v>SCI(E)</v>
      </c>
      <c r="J85" s="37" t="str">
        <f t="array" ref="J85">INDEX(학술지정보!$C$9:$O$50,MATCH($H85,학술지정보!$C$9:$C$50,0),3)</f>
        <v>1226-7988</v>
      </c>
      <c r="K85" s="37" t="str">
        <f t="array" ref="K85">IF(INDEX(학술지정보!$C$9:$O$50,MATCH($H85,학술지정보!$C$9:$C$50,0),5)=0,"",INDEX(학술지정보!$C$9:$O$50,MATCH($H85,학술지정보!$C$9:$C$50,0),5))</f>
        <v>1976-3808</v>
      </c>
      <c r="L85" s="48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9"/>
    </row>
    <row r="86" spans="2:28" ht="17.399999999999999">
      <c r="B86" s="34">
        <f t="shared" si="3"/>
        <v>77</v>
      </c>
      <c r="C86" s="45">
        <v>2023</v>
      </c>
      <c r="D86" s="46">
        <v>1</v>
      </c>
      <c r="E86" s="112"/>
      <c r="F86" s="46" t="s">
        <v>373</v>
      </c>
      <c r="G86" s="46" t="s">
        <v>200</v>
      </c>
      <c r="H86" s="46" t="s">
        <v>201</v>
      </c>
      <c r="I86" s="37" t="str">
        <f>INDEX(학술지정보!$C$9:$O$50,MATCH($H86,학술지정보!$C$9:$C$50,0),2)</f>
        <v>비SCI</v>
      </c>
      <c r="J86" s="37" t="str">
        <f t="array" ref="J86">INDEX(학술지정보!$C$9:$O$50,MATCH($H86,학술지정보!$C$9:$C$50,0),3)</f>
        <v>1598-0820</v>
      </c>
      <c r="K86" s="37" t="str">
        <f t="array" ref="K86">IF(INDEX(학술지정보!$C$9:$O$50,MATCH($H86,학술지정보!$C$9:$C$50,0),5)=0,"",INDEX(학술지정보!$C$9:$O$50,MATCH($H86,학술지정보!$C$9:$C$50,0),5))</f>
        <v/>
      </c>
      <c r="L86" s="48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9"/>
    </row>
    <row r="87" spans="2:28" ht="17.399999999999999">
      <c r="B87" s="34">
        <f t="shared" si="3"/>
        <v>78</v>
      </c>
      <c r="C87" s="45">
        <v>2023</v>
      </c>
      <c r="D87" s="46">
        <v>2</v>
      </c>
      <c r="E87" s="112" t="s">
        <v>618</v>
      </c>
      <c r="F87" s="46" t="s">
        <v>374</v>
      </c>
      <c r="G87" s="46" t="s">
        <v>193</v>
      </c>
      <c r="H87" s="46" t="s">
        <v>194</v>
      </c>
      <c r="I87" s="37" t="str">
        <f>INDEX(학술지정보!$C$9:$O$50,MATCH($H87,학술지정보!$C$9:$C$50,0),2)</f>
        <v>비SCI</v>
      </c>
      <c r="J87" s="37" t="str">
        <f t="array" ref="J87">INDEX(학술지정보!$C$9:$O$50,MATCH($H87,학술지정보!$C$9:$C$50,0),3)</f>
        <v>2233-8292</v>
      </c>
      <c r="K87" s="37" t="str">
        <f t="array" ref="K87">IF(INDEX(학술지정보!$C$9:$O$50,MATCH($H87,학술지정보!$C$9:$C$50,0),5)=0,"",INDEX(학술지정보!$C$9:$O$50,MATCH($H87,학술지정보!$C$9:$C$50,0),5))</f>
        <v>2287-4747</v>
      </c>
      <c r="L87" s="48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9"/>
    </row>
    <row r="88" spans="2:28" ht="17.399999999999999">
      <c r="B88" s="34">
        <f t="shared" si="3"/>
        <v>79</v>
      </c>
      <c r="C88" s="45">
        <v>2024</v>
      </c>
      <c r="D88" s="46">
        <v>1</v>
      </c>
      <c r="E88" s="112"/>
      <c r="F88" s="46" t="s">
        <v>375</v>
      </c>
      <c r="G88" s="46" t="s">
        <v>200</v>
      </c>
      <c r="H88" s="46" t="s">
        <v>201</v>
      </c>
      <c r="I88" s="37" t="str">
        <f>INDEX(학술지정보!$C$9:$O$50,MATCH($H88,학술지정보!$C$9:$C$50,0),2)</f>
        <v>비SCI</v>
      </c>
      <c r="J88" s="37" t="str">
        <f t="array" ref="J88">INDEX(학술지정보!$C$9:$O$50,MATCH($H88,학술지정보!$C$9:$C$50,0),3)</f>
        <v>1598-0820</v>
      </c>
      <c r="K88" s="37" t="str">
        <f t="array" ref="K88">IF(INDEX(학술지정보!$C$9:$O$50,MATCH($H88,학술지정보!$C$9:$C$50,0),5)=0,"",INDEX(학술지정보!$C$9:$O$50,MATCH($H88,학술지정보!$C$9:$C$50,0),5))</f>
        <v/>
      </c>
      <c r="L88" s="48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9"/>
    </row>
    <row r="89" spans="2:28" ht="17.399999999999999">
      <c r="B89" s="34">
        <f t="shared" si="3"/>
        <v>80</v>
      </c>
      <c r="C89" s="45">
        <v>2024</v>
      </c>
      <c r="D89" s="46">
        <v>2</v>
      </c>
      <c r="E89" s="112" t="s">
        <v>619</v>
      </c>
      <c r="F89" s="46" t="s">
        <v>376</v>
      </c>
      <c r="G89" s="46" t="s">
        <v>187</v>
      </c>
      <c r="H89" s="46" t="s">
        <v>188</v>
      </c>
      <c r="I89" s="37" t="str">
        <f>INDEX(학술지정보!$C$9:$O$50,MATCH($H89,학술지정보!$C$9:$C$50,0),2)</f>
        <v>비SCI</v>
      </c>
      <c r="J89" s="37" t="str">
        <f t="array" ref="J89">INDEX(학술지정보!$C$9:$O$50,MATCH($H89,학술지정보!$C$9:$C$50,0),3)</f>
        <v>1229-2427</v>
      </c>
      <c r="K89" s="37" t="str">
        <f t="array" ref="K89">IF(INDEX(학술지정보!$C$9:$O$50,MATCH($H89,학술지정보!$C$9:$C$50,0),5)=0,"",INDEX(학술지정보!$C$9:$O$50,MATCH($H89,학술지정보!$C$9:$C$50,0),5))</f>
        <v>2288-646X</v>
      </c>
      <c r="L89" s="48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9"/>
    </row>
    <row r="90" spans="2:28" ht="17.399999999999999">
      <c r="B90" s="34"/>
      <c r="C90" s="45"/>
      <c r="D90" s="46"/>
      <c r="E90" s="107"/>
      <c r="F90" s="46"/>
      <c r="G90" s="46"/>
      <c r="H90" s="46"/>
      <c r="I90" s="37"/>
      <c r="J90" s="37"/>
      <c r="K90" s="37"/>
      <c r="L90" s="48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9"/>
    </row>
    <row r="91" spans="2:28" ht="17.399999999999999">
      <c r="B91" s="34"/>
      <c r="C91" s="45"/>
      <c r="D91" s="46"/>
      <c r="E91" s="107"/>
      <c r="F91" s="46"/>
      <c r="G91" s="46"/>
      <c r="H91" s="46"/>
      <c r="I91" s="37"/>
      <c r="J91" s="37"/>
      <c r="K91" s="37"/>
      <c r="L91" s="48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9"/>
    </row>
    <row r="92" spans="2:28" ht="21.75" customHeight="1">
      <c r="B92" s="34"/>
      <c r="C92" s="45"/>
      <c r="D92" s="46"/>
      <c r="E92" s="46"/>
      <c r="F92" s="46"/>
      <c r="G92" s="46"/>
      <c r="H92" s="46"/>
      <c r="I92" s="37"/>
      <c r="J92" s="37"/>
      <c r="K92" s="37"/>
      <c r="L92" s="48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9"/>
    </row>
    <row r="93" spans="2:28" ht="21.75" customHeight="1">
      <c r="B93" s="34"/>
      <c r="C93" s="45"/>
      <c r="D93" s="46"/>
      <c r="E93" s="46"/>
      <c r="F93" s="46"/>
      <c r="G93" s="46"/>
      <c r="H93" s="46"/>
      <c r="I93" s="37"/>
      <c r="J93" s="37"/>
      <c r="K93" s="37"/>
      <c r="L93" s="48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9"/>
    </row>
    <row r="94" spans="2:28" ht="21.75" customHeight="1" thickBot="1">
      <c r="B94" s="90"/>
      <c r="C94" s="91"/>
      <c r="D94" s="92"/>
      <c r="E94" s="92"/>
      <c r="F94" s="92"/>
      <c r="G94" s="92"/>
      <c r="H94" s="92"/>
      <c r="I94" s="93"/>
      <c r="J94" s="93"/>
      <c r="K94" s="93"/>
      <c r="L94" s="94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5"/>
    </row>
    <row r="95" spans="2:28" ht="16.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2:28" ht="16.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3:28" ht="16.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3:28" ht="16.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3:28" ht="16.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3:28" ht="16.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3:28" ht="16.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3:28" ht="16.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3:28" ht="16.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3:28" ht="16.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3:28" ht="16.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3:28" ht="16.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3:28" ht="16.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3:28" ht="16.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3:28" ht="16.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3:28" ht="16.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3:28" ht="16.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3:28" ht="16.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3:28" ht="16.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3:28" ht="16.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3:28" ht="16.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3:28" ht="16.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3:28" ht="16.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3:28" ht="16.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3:28" ht="16.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3:28" ht="16.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3:28" ht="16.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3:28" ht="16.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3:28" ht="16.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3:28" ht="16.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3:28" ht="16.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3:28" ht="16.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3:28" ht="16.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3:28" ht="16.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3:28" ht="16.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3:28" ht="16.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3:28" ht="16.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3:28" ht="16.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3:28" ht="16.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3:28" ht="16.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3:28" ht="16.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3:28" ht="16.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3:28" ht="16.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3:28" ht="16.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3:28" ht="16.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3:28" ht="16.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3:28" ht="16.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3:28" ht="16.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3:28" ht="16.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3:28" ht="16.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3:28" ht="16.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3:28" ht="16.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3:28" ht="16.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3:28" ht="16.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3:28" ht="16.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3:28" ht="16.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3:28" ht="16.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3:28" ht="16.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3:28" ht="16.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3:28" ht="16.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3:28" ht="16.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3:28" ht="16.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3:28" ht="16.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3:28" ht="16.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3:28" ht="16.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3:28" ht="16.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3:28" ht="16.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3:28" ht="16.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3:28" ht="16.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3:28" ht="16.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3:28" ht="16.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3:28" ht="16.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3:28" ht="16.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3:28" ht="16.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3:28" ht="16.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3:28" ht="16.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3:28" ht="16.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3:28" ht="16.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3:28" ht="16.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3:28" ht="16.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3:28" ht="16.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3:28" ht="16.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3:28" ht="16.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3:28" ht="16.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3:28" ht="16.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3:28" ht="16.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3:28" ht="16.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3:28" ht="16.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3:28" ht="16.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3:28" ht="16.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3:28" ht="16.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3:28" ht="16.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3:28" ht="16.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3:28" ht="16.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3:28" ht="16.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3:28" ht="16.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3:28" ht="16.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3:28" ht="16.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3:28" ht="16.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3:28" ht="16.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3:28" ht="16.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3:28" ht="16.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3:28" ht="16.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3:28" ht="16.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3:28" ht="16.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3:28" ht="16.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3:28" ht="16.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3:28" ht="16.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3:28" ht="16.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3:28" ht="16.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3:28" ht="16.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3:28" ht="16.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3:28" ht="16.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3:28" ht="16.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3:28" ht="16.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3:28" ht="16.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3:28" ht="16.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3:28" ht="16.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3:28" ht="16.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3:28" ht="16.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3:28" ht="16.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3:28" ht="16.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3:28" ht="16.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3:28" ht="16.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3:28" ht="16.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3:28" ht="16.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3:28" ht="16.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3:28" ht="16.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3:28" ht="16.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3:28" ht="16.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3:28" ht="16.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3:28" ht="16.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3:28" ht="16.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3:28" ht="16.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3:28" ht="16.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3:28" ht="16.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3:28" ht="16.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3:28" ht="16.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3:28" ht="16.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3:28" ht="16.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3:28" ht="16.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3:28" ht="16.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3:28" ht="16.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3:28" ht="16.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3:28" ht="16.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3:28" ht="16.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3:28" ht="16.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3:28" ht="16.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3:28" ht="16.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3:28" ht="16.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3:28" ht="16.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3:28" ht="16.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3:28" ht="16.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3:28" ht="16.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3:28" ht="16.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3:28" ht="16.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3:28" ht="16.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3:28" ht="16.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3:28" ht="16.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3:28" ht="16.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3:28" ht="16.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3:28" ht="16.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3:28" ht="16.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3:28" ht="16.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3:28" ht="16.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3:28" ht="16.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3:28" ht="16.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3:28" ht="16.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3:28" ht="16.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3:28" ht="16.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3:28" ht="16.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3:28" ht="16.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3:28" ht="16.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3:28" ht="16.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3:28" ht="16.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3:28" ht="16.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3:28" ht="16.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3:28" ht="16.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3:28" ht="16.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3:28" ht="16.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3:28" ht="16.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3:28" ht="16.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3:28" ht="16.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3:28" ht="16.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3:28" ht="16.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3:28" ht="16.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3:28" ht="16.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3:28" ht="16.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3:28" ht="16.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3:28" ht="16.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3:28" ht="16.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3:28" ht="16.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3:28" ht="16.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3:28" ht="16.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3:28" ht="16.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3:28" ht="16.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3:28" ht="16.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3:28" ht="16.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3:28" ht="16.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3:28" ht="16.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3:28" ht="16.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3:28" ht="16.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3:28" ht="16.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3:28" ht="16.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3:28" ht="16.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3:28" ht="16.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3:28" ht="16.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3:28" ht="16.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3:28" ht="16.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3:28" ht="16.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3:28" ht="16.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3:28" ht="16.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3:28" ht="16.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3:28" ht="16.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3:28" ht="16.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3:28" ht="16.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3:28" ht="16.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3:28" ht="16.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3:28" ht="16.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3:28" ht="16.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3:28" ht="16.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3:28" ht="16.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3:28" ht="16.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3:28" ht="16.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3:28" ht="16.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3:28" ht="16.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3:28" ht="16.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3:28" ht="16.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3:28" ht="16.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3:28" ht="16.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3:28" ht="16.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3:28" ht="16.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3:28" ht="16.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3:28" ht="16.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3:28" ht="16.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3:28" ht="16.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3:28" ht="16.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3:28" ht="16.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3:28" ht="16.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3:28" ht="16.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3:28" ht="16.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3:28" ht="16.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3:28" ht="16.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3:28" ht="16.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3:28" ht="16.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3:28" ht="16.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3:28" ht="16.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3:28" ht="16.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3:28" ht="16.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3:28" ht="16.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3:28" ht="16.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3:28" ht="16.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3:28" ht="16.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3:28" ht="16.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3:28" ht="16.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3:28" ht="16.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3:28" ht="16.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3:28" ht="16.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3:28" ht="16.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3:28" ht="16.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3:28" ht="16.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3:28" ht="16.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3:28" ht="16.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3:28" ht="16.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3:28" ht="16.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3:28" ht="16.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3:28" ht="16.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3:28" ht="16.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3:28" ht="16.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3:28" ht="16.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3:28" ht="16.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3:28" ht="16.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3:28" ht="16.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3:28" ht="16.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3:28" ht="16.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3:28" ht="16.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3:28" ht="16.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3:28" ht="16.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3:28" ht="16.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3:28" ht="16.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3:28" ht="16.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3:28" ht="16.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3:28" ht="16.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3:28" ht="16.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3:28" ht="16.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3:28" ht="16.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3:28" ht="16.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3:28" ht="16.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3:28" ht="16.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3:28" ht="16.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3:28" ht="16.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3:28" ht="16.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3:28" ht="16.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3:28" ht="16.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3:28" ht="16.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3:28" ht="16.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3:28" ht="16.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3:28" ht="16.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3:28" ht="16.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3:28" ht="16.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3:28" ht="16.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3:28" ht="16.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3:28" ht="16.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3:28" ht="16.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3:28" ht="16.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3:28" ht="16.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3:28" ht="16.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3:28" ht="16.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3:28" ht="16.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3:28" ht="16.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3:28" ht="16.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3:28" ht="16.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3:28" ht="16.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3:28" ht="16.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3:28" ht="16.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3:28" ht="16.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3:28" ht="16.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3:28" ht="16.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3:28" ht="16.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3:28" ht="16.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3:28" ht="16.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3:28" ht="16.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3:28" ht="16.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3:28" ht="16.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3:28" ht="16.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3:28" ht="16.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3:28" ht="16.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3:28" ht="16.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3:28" ht="16.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3:28" ht="16.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3:28" ht="16.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3:28" ht="16.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3:28" ht="16.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3:28" ht="16.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3:28" ht="16.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3:28" ht="16.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3:28" ht="16.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3:28" ht="16.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3:28" ht="16.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3:28" ht="16.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3:28" ht="16.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3:28" ht="16.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3:28" ht="16.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3:28" ht="16.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3:28" ht="16.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3:28" ht="16.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3:28" ht="16.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3:28" ht="16.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3:28" ht="16.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3:28" ht="16.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3:28" ht="16.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3:28" ht="16.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3:28" ht="16.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3:28" ht="16.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3:28" ht="16.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3:28" ht="16.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3:28" ht="16.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3:28" ht="16.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3:28" ht="16.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3:28" ht="16.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3:28" ht="16.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3:28" ht="16.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3:28" ht="16.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3:28" ht="16.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3:28" ht="16.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3:28" ht="16.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3:28" ht="16.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3:28" ht="16.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3:28" ht="16.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3:28" ht="16.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3:28" ht="16.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3:28" ht="16.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3:28" ht="16.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3:28" ht="16.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3:28" ht="16.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3:28" ht="16.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3:28" ht="16.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3:28" ht="16.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3:28" ht="16.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3:28" ht="16.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3:28" ht="16.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3:28" ht="16.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3:28" ht="16.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3:28" ht="16.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3:28" ht="16.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3:28" ht="16.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3:28" ht="16.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3:28" ht="16.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3:28" ht="16.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3:28" ht="16.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3:28" ht="16.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3:28" ht="16.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3:28" ht="16.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3:28" ht="16.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3:28" ht="16.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3:28" ht="16.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3:28" ht="16.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3:28" ht="16.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3:28" ht="16.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3:28" ht="16.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3:28" ht="16.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3:28" ht="16.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3:28" ht="16.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3:28" ht="16.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3:28" ht="16.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3:28" ht="16.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3:28" ht="16.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3:28" ht="16.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3:28" ht="16.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3:28" ht="16.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3:28" ht="16.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3:28" ht="16.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3:28" ht="16.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3:28" ht="16.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3:28" ht="16.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3:28" ht="16.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3:28" ht="16.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3:28" ht="16.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3:28" ht="16.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3:28" ht="16.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3:28" ht="16.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3:28" ht="16.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3:28" ht="16.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3:28" ht="16.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3:28" ht="16.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3:28" ht="16.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3:28" ht="16.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3:28" ht="16.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3:28" ht="16.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3:28" ht="16.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3:28" ht="16.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3:28" ht="16.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3:28" ht="16.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3:28" ht="16.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3:28" ht="16.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3:28" ht="16.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3:28" ht="16.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3:28" ht="16.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3:28" ht="16.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3:28" ht="16.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3:28" ht="16.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3:28" ht="16.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3:28" ht="16.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3:28" ht="16.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3:28" ht="16.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3:28" ht="16.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3:28" ht="16.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3:28" ht="16.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3:28" ht="16.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3:28" ht="16.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3:28" ht="16.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3:28" ht="16.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3:28" ht="16.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3:28" ht="16.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3:28" ht="16.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3:28" ht="16.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3:28" ht="16.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3:28" ht="16.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3:28" ht="16.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3:28" ht="16.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3:28" ht="16.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3:28" ht="16.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3:28" ht="16.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3:28" ht="16.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3:28" ht="16.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3:28" ht="16.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3:28" ht="16.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3:28" ht="16.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3:28" ht="16.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3:28" ht="16.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3:28" ht="16.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3:28" ht="16.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3:28" ht="16.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3:28" ht="16.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3:28" ht="16.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3:28" ht="16.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3:28" ht="16.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3:28" ht="16.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3:28" ht="16.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3:28" ht="16.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3:28" ht="16.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3:28" ht="16.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3:28" ht="16.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3:28" ht="16.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3:28" ht="16.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3:28" ht="16.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3:28" ht="16.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3:28" ht="16.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3:28" ht="16.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3:28" ht="16.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3:28" ht="16.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3:28" ht="16.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3:28" ht="16.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3:28" ht="16.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3:28" ht="16.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3:28" ht="16.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3:28" ht="16.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3:28" ht="16.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3:28" ht="16.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3:28" ht="16.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3:28" ht="16.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3:28" ht="16.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3:28" ht="16.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3:28" ht="16.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3:28" ht="16.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3:28" ht="16.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3:28" ht="16.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3:28" ht="16.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3:28" ht="16.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3:28" ht="16.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3:28" ht="16.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3:28" ht="16.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3:28" ht="16.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3:28" ht="16.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3:28" ht="16.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3:28" ht="16.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3:28" ht="16.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3:28" ht="16.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3:28" ht="16.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3:28" ht="16.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3:28" ht="16.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3:28" ht="16.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3:28" ht="16.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3:28" ht="16.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3:28" ht="16.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3:28" ht="16.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3:28" ht="16.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3:28" ht="16.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3:28" ht="16.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3:28" ht="16.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3:28" ht="16.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3:28" ht="16.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3:28" ht="16.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3:28" ht="16.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3:28" ht="16.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3:28" ht="16.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3:28" ht="16.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3:28" ht="16.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3:28" ht="16.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3:28" ht="16.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3:28" ht="16.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3:28" ht="16.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3:28" ht="16.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3:28" ht="16.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3:28" ht="16.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3:28" ht="16.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3:28" ht="16.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3:28" ht="16.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3:28" ht="16.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3:28" ht="16.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3:28" ht="16.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3:28" ht="16.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3:28" ht="16.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3:28" ht="16.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3:28" ht="16.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3:28" ht="16.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3:28" ht="16.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3:28" ht="16.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3:28" ht="16.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3:28" ht="16.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3:28" ht="16.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3:28" ht="16.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3:28" ht="16.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3:28" ht="16.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3:28" ht="16.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3:28" ht="16.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3:28" ht="16.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3:28" ht="16.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3:28" ht="16.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3:28" ht="16.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3:28" ht="16.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3:28" ht="16.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3:28" ht="16.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3:28" ht="16.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3:28" ht="16.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3:28" ht="16.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3:28" ht="16.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3:28" ht="16.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3:28" ht="16.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3:28" ht="16.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3:28" ht="16.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3:28" ht="16.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3:28" ht="16.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3:28" ht="16.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3:28" ht="16.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3:28" ht="16.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3:28" ht="16.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3:28" ht="16.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3:28" ht="16.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3:28" ht="16.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3:28" ht="16.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3:28" ht="16.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3:28" ht="16.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3:28" ht="16.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3:28" ht="16.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3:28" ht="16.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3:28" ht="16.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3:28" ht="16.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3:28" ht="16.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3:28" ht="16.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3:28" ht="16.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3:28" ht="16.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3:28" ht="16.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3:28" ht="16.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3:28" ht="16.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3:28" ht="16.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3:28" ht="16.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3:28" ht="16.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3:28" ht="16.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3:28" ht="16.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3:28" ht="16.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3:28" ht="16.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3:28" ht="16.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3:28" ht="16.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3:28" ht="16.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3:28" ht="16.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3:28" ht="16.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3:28" ht="16.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3:28" ht="16.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3:28" ht="16.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3:28" ht="16.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3:28" ht="16.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3:28" ht="16.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3:28" ht="16.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3:28" ht="16.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3:28" ht="16.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3:28" ht="16.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3:28" ht="16.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3:28" ht="16.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3:28" ht="16.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3:28" ht="16.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3:28" ht="16.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3:28" ht="16.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3:28" ht="16.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3:28" ht="16.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3:28" ht="16.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3:28" ht="16.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3:28" ht="16.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3:28" ht="16.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3:28" ht="16.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3:28" ht="16.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3:28" ht="16.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3:28" ht="16.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3:28" ht="16.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3:28" ht="16.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3:28" ht="16.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3:28" ht="16.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3:28" ht="16.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3:28" ht="16.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3:28" ht="16.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3:28" ht="16.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3:28" ht="16.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3:28" ht="16.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3:28" ht="16.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3:28" ht="16.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3:28" ht="16.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3:28" ht="16.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3:28" ht="16.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3:28" ht="16.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3:28" ht="16.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3:28" ht="16.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3:28" ht="16.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3:28" ht="16.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3:28" ht="16.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3:28" ht="16.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3:28" ht="16.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3:28" ht="16.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3:28" ht="16.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3:28" ht="16.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3:28" ht="16.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3:28" ht="16.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3:28" ht="16.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3:28" ht="16.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3:28" ht="16.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3:28" ht="16.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3:28" ht="16.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3:28" ht="16.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3:28" ht="16.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3:28" ht="16.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3:28" ht="16.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3:28" ht="16.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3:28" ht="16.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3:28" ht="16.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3:28" ht="16.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3:28" ht="16.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3:28" ht="16.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3:28" ht="16.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3:28" ht="16.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3:28" ht="16.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3:28" ht="16.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3:28" ht="16.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3:28" ht="16.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3:28" ht="16.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3:28" ht="16.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3:28" ht="16.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3:28" ht="16.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3:28" ht="16.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3:28" ht="16.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3:28" ht="16.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3:28" ht="16.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3:28" ht="16.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3:28" ht="16.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3:28" ht="16.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3:28" ht="16.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3:28" ht="16.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3:28" ht="16.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3:28" ht="16.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3:28" ht="16.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3:28" ht="16.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3:28" ht="16.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3:28" ht="16.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3:28" ht="16.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3:28" ht="16.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3:28" ht="16.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3:28" ht="16.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3:28" ht="16.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3:28" ht="16.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3:28" ht="16.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3:28" ht="16.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3:28" ht="16.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3:28" ht="16.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3:28" ht="16.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3:28" ht="16.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3:28" ht="16.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3:28" ht="16.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3:28" ht="16.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3:28" ht="16.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3:28" ht="16.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3:28" ht="16.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3:28" ht="16.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3:28" ht="16.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3:28" ht="16.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3:28" ht="16.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3:28" ht="16.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3:28" ht="16.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3:28" ht="16.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3:28" ht="16.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3:28" ht="16.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3:28" ht="16.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3:28" ht="16.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3:28" ht="16.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3:28" ht="16.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3:28" ht="16.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3:28" ht="16.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3:28" ht="16.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3:28" ht="16.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3:28" ht="16.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3:28" ht="16.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3:28" ht="16.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3:28" ht="16.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3:28" ht="16.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3:28" ht="16.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3:28" ht="16.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3:28" ht="16.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3:28" ht="16.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3:28" ht="16.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3:28" ht="16.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3:28" ht="16.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3:28" ht="16.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3:28" ht="16.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3:28" ht="16.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3:28" ht="16.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3:28" ht="16.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3:28" ht="16.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3:28" ht="16.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3:28" ht="16.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3:28" ht="16.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3:28" ht="16.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3:28" ht="16.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3:28" ht="16.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3:28" ht="16.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3:28" ht="16.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3:28" ht="16.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3:28" ht="16.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3:28" ht="16.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3:28" ht="16.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3:28" ht="16.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3:28" ht="16.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3:28" ht="16.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3:28" ht="16.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3:28" ht="16.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3:28" ht="16.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3:28" ht="16.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3:28" ht="16.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3:28" ht="16.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3:28" ht="16.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3:28" ht="16.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3:28" ht="16.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3:28" ht="16.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3:28" ht="16.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3:28" ht="16.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3:28" ht="16.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3:28" ht="16.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3:28" ht="16.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3:28" ht="16.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3:28" ht="16.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3:28" ht="16.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3:28" ht="16.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3:28" ht="16.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3:28" ht="16.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3:28" ht="16.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3:28" ht="16.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3:28" ht="16.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3:28" ht="16.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3:28" ht="16.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3:28" ht="16.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3:28" ht="16.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3:28" ht="16.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3:28" ht="16.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3:28" ht="16.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3:28" ht="16.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3:28" ht="16.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3:28" ht="16.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3:28" ht="16.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3:28" ht="16.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3:28" ht="16.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3:28" ht="16.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3:28" ht="16.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3:28" ht="16.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3:28" ht="16.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3:28" ht="16.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3:28" ht="16.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3:28" ht="16.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3:28" ht="16.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3:28" ht="16.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3:28" ht="16.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3:28" ht="16.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3:28" ht="16.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3:28" ht="16.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3:28" ht="16.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3:28" ht="16.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3:28" ht="16.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3:28" ht="16.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3:28" ht="16.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3:28" ht="16.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3:28" ht="16.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3:28" ht="16.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3:28" ht="16.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3:28" ht="16.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3:28" ht="16.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3:28" ht="16.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3:28" ht="16.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3:28" ht="16.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3:28" ht="16.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3:28" ht="16.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3:28" ht="16.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3:28" ht="16.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3:28" ht="16.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3:28" ht="16.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3:28" ht="16.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3:28" ht="16.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3:28" ht="16.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3:28" ht="16.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3:28" ht="16.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3:28" ht="16.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3:28" ht="16.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3:28" ht="16.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3:28" ht="16.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3:28" ht="16.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3:28" ht="16.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3:28" ht="16.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3:28" ht="16.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3:28" ht="16.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3:28" ht="16.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3:28" ht="16.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3:28" ht="16.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3:28" ht="16.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3:28" ht="16.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3:28" ht="16.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3:28" ht="16.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3:28" ht="16.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3:28" ht="16.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3:28" ht="16.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3:28" ht="16.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3:28" ht="16.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3:28" ht="16.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3:28" ht="16.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3:28" ht="16.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3:28" ht="16.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3:28" ht="16.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3:28" ht="16.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3:28" ht="16.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3:28" ht="16.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3:28" ht="16.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3:28" ht="16.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3:28" ht="16.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3:28" ht="16.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3:28" ht="16.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3:28" ht="16.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3:28" ht="16.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3:28" ht="16.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3:28" ht="16.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3:28" ht="16.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3:28" ht="16.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3:28" ht="16.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3:28" ht="16.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3:28" ht="16.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3:28" ht="16.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3:28" ht="16.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3:28" ht="16.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3:28" ht="16.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3:28" ht="16.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3:28" ht="16.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3:28" ht="16.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3:28" ht="16.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3:28" ht="16.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3:28" ht="16.5" customHeight="1"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3:28" ht="16.5" customHeight="1"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3:28" ht="16.5" customHeight="1"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3:28" ht="16.5" customHeight="1"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3:28" ht="16.5" customHeight="1"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3:28" ht="16.5" customHeight="1"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3:28" ht="16.5" customHeight="1"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3:28" ht="16.5" customHeight="1"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3:28" ht="16.5" customHeight="1"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3:28" ht="16.5" customHeight="1"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3:28" ht="16.5" customHeight="1"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3:28" ht="16.5" customHeight="1"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3:28" ht="16.5" customHeight="1"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3:28" ht="16.5" customHeight="1"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3:28" ht="16.5" customHeight="1"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3:28" ht="16.5" customHeight="1"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3:28" ht="16.5" customHeight="1"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3:28" ht="16.5" customHeight="1"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spans="3:28" ht="16.5" customHeight="1"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spans="3:28" ht="16.5" customHeight="1"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spans="3:28" ht="16.5" customHeight="1"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spans="3:28" ht="16.5" customHeight="1"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spans="3:28" ht="16.5" customHeight="1"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spans="3:28" ht="16.5" customHeight="1"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3:28" ht="16.5" customHeight="1"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3:28" ht="16.5" customHeight="1"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spans="3:28" ht="16.5" customHeight="1"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spans="3:28" ht="16.5" customHeight="1"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spans="3:28" ht="16.5" customHeight="1"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spans="3:28" ht="16.5" customHeight="1"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 spans="3:28" ht="16.5" customHeight="1"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spans="3:28" ht="16.5" customHeight="1"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 spans="3:28" ht="16.5" customHeight="1"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spans="3:28" ht="16.5" customHeight="1"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spans="3:28" ht="16.5" customHeight="1"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spans="3:28" ht="16.5" customHeight="1"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spans="3:28" ht="16.5" customHeight="1"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 spans="3:28" ht="16.5" customHeight="1"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 spans="3:28" ht="16.5" customHeight="1"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 spans="3:28" ht="16.5" customHeight="1"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 spans="3:28" ht="16.5" customHeight="1"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 spans="3:28" ht="16.5" customHeight="1"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 spans="3:28" ht="16.5" customHeight="1"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 spans="3:28" ht="16.5" customHeight="1"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3:28" ht="16.5" customHeight="1"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3:28" ht="16.5" customHeight="1"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3:28" ht="16.5" customHeight="1"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 spans="3:28" ht="16.5" customHeight="1"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 spans="3:28" ht="16.5" customHeight="1"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 spans="3:28" ht="16.5" customHeight="1"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</sheetData>
  <mergeCells count="7">
    <mergeCell ref="S8:AB8"/>
    <mergeCell ref="B8:B9"/>
    <mergeCell ref="C8:C9"/>
    <mergeCell ref="D8:D9"/>
    <mergeCell ref="E8:E9"/>
    <mergeCell ref="F8:F9"/>
    <mergeCell ref="G8:R8"/>
  </mergeCells>
  <phoneticPr fontId="2" type="noConversion"/>
  <hyperlinks>
    <hyperlink ref="L53" r:id="rId1" xr:uid="{00000000-0004-0000-0200-000000000000}"/>
    <hyperlink ref="L54" r:id="rId2" xr:uid="{00000000-0004-0000-0200-000001000000}"/>
    <hyperlink ref="L55" r:id="rId3" xr:uid="{00000000-0004-0000-0200-000002000000}"/>
    <hyperlink ref="L56" r:id="rId4" xr:uid="{00000000-0004-0000-0200-000003000000}"/>
    <hyperlink ref="L57" r:id="rId5" xr:uid="{00000000-0004-0000-0200-000004000000}"/>
    <hyperlink ref="L58" r:id="rId6" xr:uid="{00000000-0004-0000-0200-000005000000}"/>
    <hyperlink ref="L59" r:id="rId7" xr:uid="{00000000-0004-0000-0200-000006000000}"/>
    <hyperlink ref="L63" r:id="rId8" xr:uid="{00000000-0004-0000-0200-000007000000}"/>
    <hyperlink ref="L64" r:id="rId9" xr:uid="{00000000-0004-0000-0200-000008000000}"/>
    <hyperlink ref="L65" r:id="rId10" xr:uid="{00000000-0004-0000-0200-000009000000}"/>
    <hyperlink ref="L66" r:id="rId11" xr:uid="{00000000-0004-0000-0200-00000A000000}"/>
    <hyperlink ref="L67" r:id="rId12" xr:uid="{00000000-0004-0000-0200-00000B000000}"/>
    <hyperlink ref="L68" r:id="rId13" xr:uid="{00000000-0004-0000-0200-00000C000000}"/>
    <hyperlink ref="L69" r:id="rId14" xr:uid="{00000000-0004-0000-0200-00000D000000}"/>
    <hyperlink ref="L70" r:id="rId15" xr:uid="{00000000-0004-0000-0200-00000E000000}"/>
    <hyperlink ref="L71" r:id="rId16" xr:uid="{00000000-0004-0000-0200-00000F000000}"/>
    <hyperlink ref="L72" r:id="rId17" xr:uid="{00000000-0004-0000-0200-000010000000}"/>
    <hyperlink ref="L73" r:id="rId18" xr:uid="{00000000-0004-0000-0200-000011000000}"/>
    <hyperlink ref="L74" r:id="rId19" xr:uid="{00000000-0004-0000-0200-000012000000}"/>
    <hyperlink ref="L75" r:id="rId20" xr:uid="{00000000-0004-0000-0200-000013000000}"/>
    <hyperlink ref="L76" r:id="rId21" xr:uid="{00000000-0004-0000-0200-000014000000}"/>
    <hyperlink ref="L77" r:id="rId22" xr:uid="{00000000-0004-0000-0200-000015000000}"/>
    <hyperlink ref="F12" r:id="rId23" display="https://scholar.google.co.kr/citations?view_op=view_citation&amp;hl=ko&amp;user=s55YrBYAAAAJ&amp;cstart=200&amp;pagesize=100&amp;sortby=pubdate&amp;citation_for_view=s55YrBYAAAAJ:RYcK_YlVTxYC" xr:uid="{00000000-0004-0000-0200-000016000000}"/>
    <hyperlink ref="L62" r:id="rId24" xr:uid="{00000000-0004-0000-0200-000017000000}"/>
    <hyperlink ref="F84" r:id="rId25" display="https://www.dbpia.co.kr/Journal/articleDetail?nodeId=NODE10572207" xr:uid="{00000000-0004-0000-0200-000018000000}"/>
  </hyperlinks>
  <pageMargins left="0.7" right="0.7" top="0.75" bottom="0.75" header="0" footer="0"/>
  <pageSetup paperSize="9" orientation="portrait" r:id="rId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52"/>
  <sheetViews>
    <sheetView workbookViewId="0">
      <selection activeCell="D47" sqref="D47"/>
    </sheetView>
  </sheetViews>
  <sheetFormatPr defaultColWidth="9" defaultRowHeight="17.399999999999999"/>
  <cols>
    <col min="1" max="3" width="9" style="52"/>
    <col min="4" max="4" width="111.69921875" style="52" bestFit="1" customWidth="1"/>
    <col min="5" max="5" width="154.69921875" style="52" bestFit="1" customWidth="1"/>
    <col min="6" max="16384" width="9" style="52"/>
  </cols>
  <sheetData>
    <row r="1" spans="2:5" ht="18" thickBot="1"/>
    <row r="2" spans="2:5" ht="18" thickBot="1">
      <c r="B2" s="65" t="s">
        <v>2</v>
      </c>
      <c r="C2" s="66" t="s">
        <v>3</v>
      </c>
      <c r="D2" s="66" t="s">
        <v>448</v>
      </c>
      <c r="E2" s="53" t="s">
        <v>169</v>
      </c>
    </row>
    <row r="3" spans="2:5">
      <c r="B3" s="54">
        <v>1</v>
      </c>
      <c r="C3" s="55">
        <v>2000</v>
      </c>
      <c r="D3" s="59" t="s">
        <v>533</v>
      </c>
      <c r="E3" s="58" t="s">
        <v>534</v>
      </c>
    </row>
    <row r="4" spans="2:5">
      <c r="B4" s="54">
        <f>B3+1</f>
        <v>2</v>
      </c>
      <c r="C4" s="55">
        <v>2002</v>
      </c>
      <c r="D4" s="59" t="s">
        <v>527</v>
      </c>
      <c r="E4" s="58" t="s">
        <v>528</v>
      </c>
    </row>
    <row r="5" spans="2:5">
      <c r="B5" s="54">
        <f t="shared" ref="B5:B52" si="0">B4+1</f>
        <v>3</v>
      </c>
      <c r="C5" s="55">
        <v>2002</v>
      </c>
      <c r="D5" s="59" t="s">
        <v>529</v>
      </c>
      <c r="E5" s="57" t="s">
        <v>530</v>
      </c>
    </row>
    <row r="6" spans="2:5">
      <c r="B6" s="54">
        <f t="shared" si="0"/>
        <v>4</v>
      </c>
      <c r="C6" s="55">
        <v>2002</v>
      </c>
      <c r="D6" s="59" t="s">
        <v>531</v>
      </c>
      <c r="E6" s="58" t="s">
        <v>532</v>
      </c>
    </row>
    <row r="7" spans="2:5">
      <c r="B7" s="54">
        <f t="shared" si="0"/>
        <v>5</v>
      </c>
      <c r="C7" s="55">
        <v>2004</v>
      </c>
      <c r="D7" s="59" t="s">
        <v>522</v>
      </c>
      <c r="E7" s="58" t="s">
        <v>516</v>
      </c>
    </row>
    <row r="8" spans="2:5">
      <c r="B8" s="54">
        <f t="shared" si="0"/>
        <v>6</v>
      </c>
      <c r="C8" s="55">
        <v>2004</v>
      </c>
      <c r="D8" s="59" t="s">
        <v>523</v>
      </c>
      <c r="E8" s="58" t="s">
        <v>524</v>
      </c>
    </row>
    <row r="9" spans="2:5">
      <c r="B9" s="54">
        <f t="shared" si="0"/>
        <v>7</v>
      </c>
      <c r="C9" s="55">
        <v>2004</v>
      </c>
      <c r="D9" s="59" t="s">
        <v>525</v>
      </c>
      <c r="E9" s="58" t="s">
        <v>526</v>
      </c>
    </row>
    <row r="10" spans="2:5">
      <c r="B10" s="54">
        <f t="shared" si="0"/>
        <v>8</v>
      </c>
      <c r="C10" s="55">
        <v>2007</v>
      </c>
      <c r="D10" s="59" t="s">
        <v>511</v>
      </c>
      <c r="E10" s="58" t="s">
        <v>512</v>
      </c>
    </row>
    <row r="11" spans="2:5">
      <c r="B11" s="54">
        <f t="shared" si="0"/>
        <v>9</v>
      </c>
      <c r="C11" s="55">
        <v>2007</v>
      </c>
      <c r="D11" s="59" t="s">
        <v>513</v>
      </c>
      <c r="E11" s="58" t="s">
        <v>514</v>
      </c>
    </row>
    <row r="12" spans="2:5">
      <c r="B12" s="54">
        <f t="shared" si="0"/>
        <v>10</v>
      </c>
      <c r="C12" s="55">
        <v>2007</v>
      </c>
      <c r="D12" s="59" t="s">
        <v>515</v>
      </c>
      <c r="E12" s="58" t="s">
        <v>516</v>
      </c>
    </row>
    <row r="13" spans="2:5">
      <c r="B13" s="54">
        <f t="shared" si="0"/>
        <v>11</v>
      </c>
      <c r="C13" s="55">
        <v>2007</v>
      </c>
      <c r="D13" s="59" t="s">
        <v>517</v>
      </c>
      <c r="E13" s="58" t="s">
        <v>518</v>
      </c>
    </row>
    <row r="14" spans="2:5">
      <c r="B14" s="54">
        <f t="shared" si="0"/>
        <v>12</v>
      </c>
      <c r="C14" s="55">
        <v>2007</v>
      </c>
      <c r="D14" s="59" t="s">
        <v>519</v>
      </c>
      <c r="E14" s="57" t="s">
        <v>518</v>
      </c>
    </row>
    <row r="15" spans="2:5">
      <c r="B15" s="54">
        <f t="shared" si="0"/>
        <v>13</v>
      </c>
      <c r="C15" s="60">
        <v>2007</v>
      </c>
      <c r="D15" s="56" t="s">
        <v>520</v>
      </c>
      <c r="E15" s="58" t="s">
        <v>521</v>
      </c>
    </row>
    <row r="16" spans="2:5">
      <c r="B16" s="54">
        <f t="shared" si="0"/>
        <v>14</v>
      </c>
      <c r="C16" s="60">
        <v>2008</v>
      </c>
      <c r="D16" s="56" t="s">
        <v>502</v>
      </c>
      <c r="E16" s="58" t="s">
        <v>503</v>
      </c>
    </row>
    <row r="17" spans="2:5">
      <c r="B17" s="54">
        <f t="shared" si="0"/>
        <v>15</v>
      </c>
      <c r="C17" s="60">
        <v>2008</v>
      </c>
      <c r="D17" s="56" t="s">
        <v>504</v>
      </c>
      <c r="E17" s="58" t="s">
        <v>505</v>
      </c>
    </row>
    <row r="18" spans="2:5">
      <c r="B18" s="54">
        <f t="shared" si="0"/>
        <v>16</v>
      </c>
      <c r="C18" s="60">
        <v>2008</v>
      </c>
      <c r="D18" s="56" t="s">
        <v>506</v>
      </c>
      <c r="E18" s="58" t="s">
        <v>507</v>
      </c>
    </row>
    <row r="19" spans="2:5">
      <c r="B19" s="54">
        <f t="shared" si="0"/>
        <v>17</v>
      </c>
      <c r="C19" s="60">
        <v>2008</v>
      </c>
      <c r="D19" s="56" t="s">
        <v>508</v>
      </c>
      <c r="E19" s="58" t="s">
        <v>509</v>
      </c>
    </row>
    <row r="20" spans="2:5">
      <c r="B20" s="54">
        <f t="shared" si="0"/>
        <v>18</v>
      </c>
      <c r="C20" s="60">
        <v>2008</v>
      </c>
      <c r="D20" s="56" t="s">
        <v>510</v>
      </c>
      <c r="E20" s="58" t="s">
        <v>509</v>
      </c>
    </row>
    <row r="21" spans="2:5">
      <c r="B21" s="54">
        <f t="shared" si="0"/>
        <v>19</v>
      </c>
      <c r="C21" s="60">
        <v>2009</v>
      </c>
      <c r="D21" s="56" t="s">
        <v>498</v>
      </c>
      <c r="E21" s="58" t="s">
        <v>499</v>
      </c>
    </row>
    <row r="22" spans="2:5">
      <c r="B22" s="54">
        <f t="shared" si="0"/>
        <v>20</v>
      </c>
      <c r="C22" s="60">
        <v>2009</v>
      </c>
      <c r="D22" s="56" t="s">
        <v>500</v>
      </c>
      <c r="E22" s="58" t="s">
        <v>501</v>
      </c>
    </row>
    <row r="23" spans="2:5">
      <c r="B23" s="54">
        <f t="shared" si="0"/>
        <v>21</v>
      </c>
      <c r="C23" s="60">
        <v>2010</v>
      </c>
      <c r="D23" s="56" t="s">
        <v>495</v>
      </c>
      <c r="E23" s="58" t="s">
        <v>496</v>
      </c>
    </row>
    <row r="24" spans="2:5">
      <c r="B24" s="54">
        <f t="shared" si="0"/>
        <v>22</v>
      </c>
      <c r="C24" s="60">
        <v>2010</v>
      </c>
      <c r="D24" s="56" t="s">
        <v>497</v>
      </c>
      <c r="E24" s="58" t="s">
        <v>496</v>
      </c>
    </row>
    <row r="25" spans="2:5">
      <c r="B25" s="54">
        <f t="shared" si="0"/>
        <v>23</v>
      </c>
      <c r="C25" s="60">
        <v>2011</v>
      </c>
      <c r="D25" s="56" t="s">
        <v>490</v>
      </c>
      <c r="E25" s="58" t="s">
        <v>491</v>
      </c>
    </row>
    <row r="26" spans="2:5">
      <c r="B26" s="54">
        <f t="shared" si="0"/>
        <v>24</v>
      </c>
      <c r="C26" s="60">
        <v>2011</v>
      </c>
      <c r="D26" s="56" t="s">
        <v>492</v>
      </c>
      <c r="E26" s="58" t="s">
        <v>491</v>
      </c>
    </row>
    <row r="27" spans="2:5">
      <c r="B27" s="54">
        <f t="shared" si="0"/>
        <v>25</v>
      </c>
      <c r="C27" s="60">
        <v>2011</v>
      </c>
      <c r="D27" s="56" t="s">
        <v>493</v>
      </c>
      <c r="E27" s="58" t="s">
        <v>494</v>
      </c>
    </row>
    <row r="28" spans="2:5">
      <c r="B28" s="54">
        <f t="shared" si="0"/>
        <v>26</v>
      </c>
      <c r="C28" s="60">
        <v>2012</v>
      </c>
      <c r="D28" s="56" t="s">
        <v>488</v>
      </c>
      <c r="E28" s="58" t="s">
        <v>489</v>
      </c>
    </row>
    <row r="29" spans="2:5">
      <c r="B29" s="54">
        <f t="shared" si="0"/>
        <v>27</v>
      </c>
      <c r="C29" s="60">
        <v>2014</v>
      </c>
      <c r="D29" s="56" t="s">
        <v>483</v>
      </c>
      <c r="E29" s="58" t="s">
        <v>484</v>
      </c>
    </row>
    <row r="30" spans="2:5">
      <c r="B30" s="54">
        <f t="shared" si="0"/>
        <v>28</v>
      </c>
      <c r="C30" s="60">
        <v>2014</v>
      </c>
      <c r="D30" s="56" t="s">
        <v>485</v>
      </c>
      <c r="E30" s="58" t="s">
        <v>484</v>
      </c>
    </row>
    <row r="31" spans="2:5">
      <c r="B31" s="54">
        <f t="shared" si="0"/>
        <v>29</v>
      </c>
      <c r="C31" s="60">
        <v>2014</v>
      </c>
      <c r="D31" s="56" t="s">
        <v>486</v>
      </c>
      <c r="E31" s="58" t="s">
        <v>487</v>
      </c>
    </row>
    <row r="32" spans="2:5">
      <c r="B32" s="54">
        <f t="shared" si="0"/>
        <v>30</v>
      </c>
      <c r="C32" s="60">
        <v>2015</v>
      </c>
      <c r="D32" s="56" t="s">
        <v>479</v>
      </c>
      <c r="E32" s="58" t="s">
        <v>480</v>
      </c>
    </row>
    <row r="33" spans="2:5">
      <c r="B33" s="54">
        <f t="shared" si="0"/>
        <v>31</v>
      </c>
      <c r="C33" s="60">
        <v>2015</v>
      </c>
      <c r="D33" s="56" t="s">
        <v>481</v>
      </c>
      <c r="E33" s="58" t="s">
        <v>482</v>
      </c>
    </row>
    <row r="34" spans="2:5">
      <c r="B34" s="54">
        <f t="shared" si="0"/>
        <v>32</v>
      </c>
      <c r="C34" s="60">
        <v>2016</v>
      </c>
      <c r="D34" s="56" t="s">
        <v>476</v>
      </c>
      <c r="E34" s="58" t="s">
        <v>477</v>
      </c>
    </row>
    <row r="35" spans="2:5">
      <c r="B35" s="54">
        <f t="shared" si="0"/>
        <v>33</v>
      </c>
      <c r="C35" s="60">
        <v>2016</v>
      </c>
      <c r="D35" s="56" t="s">
        <v>478</v>
      </c>
      <c r="E35" s="58" t="s">
        <v>477</v>
      </c>
    </row>
    <row r="36" spans="2:5">
      <c r="B36" s="54">
        <f t="shared" si="0"/>
        <v>34</v>
      </c>
      <c r="C36" s="60">
        <v>2017</v>
      </c>
      <c r="D36" s="56" t="s">
        <v>470</v>
      </c>
      <c r="E36" s="58" t="s">
        <v>471</v>
      </c>
    </row>
    <row r="37" spans="2:5">
      <c r="B37" s="54">
        <f t="shared" si="0"/>
        <v>35</v>
      </c>
      <c r="C37" s="60">
        <v>2017</v>
      </c>
      <c r="D37" s="56" t="s">
        <v>472</v>
      </c>
      <c r="E37" s="58" t="s">
        <v>473</v>
      </c>
    </row>
    <row r="38" spans="2:5">
      <c r="B38" s="54">
        <f t="shared" si="0"/>
        <v>36</v>
      </c>
      <c r="C38" s="60">
        <v>2017</v>
      </c>
      <c r="D38" s="56" t="s">
        <v>474</v>
      </c>
      <c r="E38" s="58" t="s">
        <v>473</v>
      </c>
    </row>
    <row r="39" spans="2:5">
      <c r="B39" s="54">
        <f t="shared" si="0"/>
        <v>37</v>
      </c>
      <c r="C39" s="60">
        <v>2017</v>
      </c>
      <c r="D39" s="56" t="s">
        <v>475</v>
      </c>
      <c r="E39" s="58" t="s">
        <v>473</v>
      </c>
    </row>
    <row r="40" spans="2:5">
      <c r="B40" s="54">
        <f t="shared" si="0"/>
        <v>38</v>
      </c>
      <c r="C40" s="60">
        <v>2018</v>
      </c>
      <c r="D40" s="56" t="s">
        <v>467</v>
      </c>
      <c r="E40" s="58" t="s">
        <v>468</v>
      </c>
    </row>
    <row r="41" spans="2:5">
      <c r="B41" s="54">
        <f t="shared" si="0"/>
        <v>39</v>
      </c>
      <c r="C41" s="60">
        <v>2018</v>
      </c>
      <c r="D41" s="56" t="s">
        <v>469</v>
      </c>
      <c r="E41" s="58" t="s">
        <v>468</v>
      </c>
    </row>
    <row r="42" spans="2:5">
      <c r="B42" s="54">
        <f t="shared" si="0"/>
        <v>40</v>
      </c>
      <c r="C42" s="60">
        <v>2019</v>
      </c>
      <c r="D42" s="64" t="s">
        <v>463</v>
      </c>
      <c r="E42" s="58" t="s">
        <v>464</v>
      </c>
    </row>
    <row r="43" spans="2:5">
      <c r="B43" s="54">
        <f t="shared" si="0"/>
        <v>41</v>
      </c>
      <c r="C43" s="60">
        <v>2019</v>
      </c>
      <c r="D43" s="56" t="s">
        <v>465</v>
      </c>
      <c r="E43" s="58" t="s">
        <v>466</v>
      </c>
    </row>
    <row r="44" spans="2:5">
      <c r="B44" s="54">
        <f t="shared" si="0"/>
        <v>42</v>
      </c>
      <c r="C44" s="60">
        <v>2022</v>
      </c>
      <c r="D44" s="56" t="s">
        <v>458</v>
      </c>
      <c r="E44" s="58" t="s">
        <v>459</v>
      </c>
    </row>
    <row r="45" spans="2:5">
      <c r="B45" s="54">
        <f t="shared" si="0"/>
        <v>43</v>
      </c>
      <c r="C45" s="60">
        <v>2022</v>
      </c>
      <c r="D45" s="56" t="s">
        <v>460</v>
      </c>
      <c r="E45" s="58" t="s">
        <v>461</v>
      </c>
    </row>
    <row r="46" spans="2:5">
      <c r="B46" s="54">
        <f t="shared" si="0"/>
        <v>44</v>
      </c>
      <c r="C46" s="60">
        <v>2022</v>
      </c>
      <c r="D46" s="56" t="s">
        <v>462</v>
      </c>
      <c r="E46" s="58" t="s">
        <v>461</v>
      </c>
    </row>
    <row r="47" spans="2:5">
      <c r="B47" s="54">
        <f t="shared" si="0"/>
        <v>45</v>
      </c>
      <c r="C47" s="60">
        <v>2023</v>
      </c>
      <c r="D47" s="56" t="s">
        <v>456</v>
      </c>
      <c r="E47" s="58" t="s">
        <v>457</v>
      </c>
    </row>
    <row r="48" spans="2:5">
      <c r="B48" s="54">
        <f t="shared" si="0"/>
        <v>46</v>
      </c>
      <c r="C48" s="60">
        <v>2024</v>
      </c>
      <c r="D48" s="64" t="s">
        <v>449</v>
      </c>
      <c r="E48" s="58" t="s">
        <v>450</v>
      </c>
    </row>
    <row r="49" spans="2:5">
      <c r="B49" s="54">
        <f t="shared" si="0"/>
        <v>47</v>
      </c>
      <c r="C49" s="60">
        <v>2024</v>
      </c>
      <c r="D49" s="64" t="s">
        <v>451</v>
      </c>
      <c r="E49" s="58" t="s">
        <v>450</v>
      </c>
    </row>
    <row r="50" spans="2:5">
      <c r="B50" s="54">
        <f t="shared" si="0"/>
        <v>48</v>
      </c>
      <c r="C50" s="60">
        <v>2024</v>
      </c>
      <c r="D50" s="64" t="s">
        <v>452</v>
      </c>
      <c r="E50" s="58" t="s">
        <v>453</v>
      </c>
    </row>
    <row r="51" spans="2:5">
      <c r="B51" s="54">
        <f t="shared" si="0"/>
        <v>49</v>
      </c>
      <c r="C51" s="60">
        <v>2024</v>
      </c>
      <c r="D51" s="64" t="s">
        <v>454</v>
      </c>
      <c r="E51" s="58" t="s">
        <v>453</v>
      </c>
    </row>
    <row r="52" spans="2:5" ht="18" thickBot="1">
      <c r="B52" s="67">
        <f t="shared" si="0"/>
        <v>50</v>
      </c>
      <c r="C52" s="61">
        <v>2024</v>
      </c>
      <c r="D52" s="62" t="s">
        <v>455</v>
      </c>
      <c r="E52" s="63" t="s">
        <v>453</v>
      </c>
    </row>
  </sheetData>
  <sortState xmlns:xlrd2="http://schemas.microsoft.com/office/spreadsheetml/2017/richdata2" ref="B3:E52">
    <sortCondition ref="C2:C5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학술지정보</vt:lpstr>
      <vt:lpstr>GSR group 저널논문 (2001~2024)</vt:lpstr>
      <vt:lpstr>GSR group 국내논문 (2006~2024)</vt:lpstr>
      <vt:lpstr>국외학술발표 (2000~2024)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dwcollector</dc:creator>
  <cp:lastModifiedBy>장은석</cp:lastModifiedBy>
  <dcterms:created xsi:type="dcterms:W3CDTF">2025-01-03T06:27:05Z</dcterms:created>
  <dcterms:modified xsi:type="dcterms:W3CDTF">2026-02-25T09:52:35Z</dcterms:modified>
</cp:coreProperties>
</file>